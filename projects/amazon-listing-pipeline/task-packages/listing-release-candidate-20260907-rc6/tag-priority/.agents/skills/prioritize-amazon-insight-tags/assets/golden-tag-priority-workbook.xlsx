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43bf7baa5ac42dc" /></Relationships>
</file>

<file path=xl/workbook.xml><?xml version="1.0" encoding="utf-8"?>
<x:workbook xmlns:x="http://schemas.openxmlformats.org/spreadsheetml/2006/main">
  <x:sheets>
    <x:sheet xmlns:r="http://schemas.openxmlformats.org/officeDocument/2006/relationships" name="竞品打标签" sheetId="1" r:id="R334a462f5d5642d7"/>
    <x:sheet xmlns:r="http://schemas.openxmlformats.org/officeDocument/2006/relationships" name="标签覆盖率" sheetId="2" r:id="Rd3dfb6c327ad454c"/>
    <x:sheet xmlns:r="http://schemas.openxmlformats.org/officeDocument/2006/relationships" name="标签介绍度" sheetId="3" r:id="R9807ab079fc34620"/>
    <x:sheet xmlns:r="http://schemas.openxmlformats.org/officeDocument/2006/relationships" name="标签分类" sheetId="4" r:id="Rcb318ea0d88b4754"/>
    <x:sheet xmlns:r="http://schemas.openxmlformats.org/officeDocument/2006/relationships" name="产品参数对比与优先级" sheetId="5" r:id="R2587235d4ddb4259"/>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0%"/>
    <x:numFmt numFmtId="203" formatCode="0"/>
    <x:numFmt numFmtId="204" formatCode="0.00"/>
  </x:numFmts>
  <x:fonts count="8">
    <x:font>
      <x:sz val="11"/>
      <x:name val="Carlito"/>
    </x:font>
    <x:font>
      <x:sz val="10"/>
      <x:color rgb="FF1F2937"/>
      <x:name val="Microsoft YaHei"/>
    </x:font>
    <x:font>
      <x:b/>
      <x:sz val="10"/>
      <x:color rgb="FFFFFFFF"/>
      <x:name val="Microsoft YaHei"/>
    </x:font>
    <x:font>
      <x:b/>
      <x:sz val="10"/>
      <x:color rgb="FF16324F"/>
      <x:name val="Microsoft YaHei"/>
    </x:font>
    <x:font>
      <x:b/>
      <x:sz val="10"/>
      <x:color rgb="FF2F75B5"/>
      <x:name val="Microsoft YaHei"/>
    </x:font>
    <x:font>
      <x:b/>
      <x:sz val="10"/>
      <x:color rgb="FF548235"/>
      <x:name val="Microsoft YaHei"/>
    </x:font>
    <x:font>
      <x:b/>
      <x:sz val="10"/>
      <x:color rgb="FFC55A11"/>
      <x:name val="Microsoft YaHei"/>
    </x:font>
    <x:font>
      <x:b/>
      <x:sz val="10"/>
      <x:color rgb="FF8064A2"/>
      <x:name val="Microsoft YaHei"/>
    </x:font>
  </x:fonts>
  <x:fills count="22">
    <x:fill>
      <x:patternFill patternType="none"/>
    </x:fill>
    <x:fill>
      <x:patternFill patternType="gray125"/>
    </x:fill>
    <x:fill>
      <x:patternFill patternType="solid">
        <x:fgColor rgb="FF16324F"/>
      </x:patternFill>
    </x:fill>
    <x:fill>
      <x:patternFill patternType="solid">
        <x:fgColor rgb="FFEFF8F0"/>
      </x:patternFill>
    </x:fill>
    <x:fill>
      <x:patternFill patternType="solid">
        <x:fgColor rgb="FFFFF7E6"/>
      </x:patternFill>
    </x:fill>
    <x:fill>
      <x:patternFill patternType="solid">
        <x:fgColor rgb="FFFDECEC"/>
      </x:patternFill>
    </x:fill>
    <x:fill>
      <x:patternFill patternType="solid">
        <x:fgColor rgb="FFF2F2F2"/>
      </x:patternFill>
    </x:fill>
    <x:fill>
      <x:patternFill patternType="solid">
        <x:fgColor rgb="FFE8F1FB"/>
      </x:patternFill>
    </x:fill>
    <x:fill>
      <x:patternFill patternType="solid">
        <x:fgColor rgb="FFEAF4EA"/>
      </x:patternFill>
    </x:fill>
    <x:fill>
      <x:patternFill patternType="solid">
        <x:fgColor rgb="FFFFF1E3"/>
      </x:patternFill>
    </x:fill>
    <x:fill>
      <x:patternFill patternType="solid">
        <x:fgColor rgb="FFF1EAF7"/>
      </x:patternFill>
    </x:fill>
    <x:fill>
      <x:patternFill patternType="solid">
        <x:fgColor rgb="FFE2F0D9"/>
      </x:patternFill>
    </x:fill>
    <x:fill>
      <x:patternFill patternType="solid">
        <x:fgColor rgb="FFDDEBF7"/>
      </x:patternFill>
    </x:fill>
    <x:fill>
      <x:patternFill patternType="solid">
        <x:fgColor rgb="FFFFF2CC"/>
      </x:patternFill>
    </x:fill>
    <x:fill>
      <x:patternFill patternType="solid">
        <x:fgColor rgb="FFF7FAFC"/>
      </x:patternFill>
    </x:fill>
    <x:fill>
      <x:patternFill patternType="solid">
        <x:fgColor rgb="FFEEF4F8"/>
      </x:patternFill>
    </x:fill>
    <x:fill>
      <x:patternFill patternType="solid">
        <x:fgColor rgb="FF2F75B5"/>
      </x:patternFill>
    </x:fill>
    <x:fill>
      <x:patternFill patternType="solid">
        <x:fgColor rgb="FF548235"/>
      </x:patternFill>
    </x:fill>
    <x:fill>
      <x:patternFill patternType="solid">
        <x:fgColor rgb="FFC55A11"/>
      </x:patternFill>
    </x:fill>
    <x:fill>
      <x:patternFill patternType="solid">
        <x:fgColor rgb="FF8064A2"/>
      </x:patternFill>
    </x:fill>
    <x:fill>
      <x:patternFill patternType="solid">
        <x:fgColor rgb="FFBF9000"/>
      </x:patternFill>
    </x:fill>
    <x:fill>
      <x:patternFill patternType="solid">
        <x:fgColor rgb="FF7F7F7F"/>
      </x:patternFill>
    </x:fill>
  </x:fills>
  <x:borders count="10">
    <x:border/>
    <x:border>
      <x:left style="thin">
        <x:color rgb="FF0E2238"/>
      </x:left>
      <x:right style="thin">
        <x:color rgb="FF0E2238"/>
      </x:right>
      <x:top style="thin">
        <x:color rgb="FF0E2238"/>
      </x:top>
      <x:bottom style="thin">
        <x:color rgb="FF0E2238"/>
      </x:bottom>
    </x:border>
    <x:border>
      <x:top style="medium">
        <x:color rgb="FF548235"/>
      </x:top>
    </x:border>
    <x:border>
      <x:top style="medium">
        <x:color rgb="FFBF9000"/>
      </x:top>
    </x:border>
    <x:border>
      <x:top style="medium">
        <x:color rgb="FFC00000"/>
      </x:top>
    </x:border>
    <x:border>
      <x:top style="medium">
        <x:color rgb="FF7F7F7F"/>
      </x:top>
    </x:border>
    <x:border>
      <x:top style="medium">
        <x:color rgb="FF2F75B5"/>
      </x:top>
    </x:border>
    <x:border>
      <x:top style="medium">
        <x:color rgb="FFC55A11"/>
      </x:top>
    </x:border>
    <x:border>
      <x:top style="medium">
        <x:color rgb="FF8064A2"/>
      </x:top>
    </x:border>
    <x:border>
      <x:top style="medium">
        <x:color rgb="FF5B9BD5"/>
      </x:top>
    </x:border>
  </x:borders>
  <x:cellStyleXfs count="1">
    <x:xf numFmtId="0" fontId="0" fillId="0" borderId="0"/>
  </x:cellStyleXfs>
  <x:cellXfs count="2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3" fontId="1" fillId="0" borderId="0" xfId="0" applyNumberFormat="1" applyFont="1" applyFill="1" applyBorder="1" applyAlignment="1">
      <x:alignment horizontal="center" vertical="center" wrapText="1"/>
    </x:xf>
    <x:xf numFmtId="203" fontId="3" fillId="0" borderId="0" xfId="0" applyNumberFormat="1" applyFont="1" applyFill="1" applyBorder="1" applyAlignment="1">
      <x:alignment horizontal="center" vertical="center" wrapText="1"/>
    </x:xf>
    <x:xf numFmtId="204" fontId="1" fillId="0" borderId="0" xfId="0" applyNumberFormat="1" applyFont="1" applyFill="1" applyBorder="1" applyAlignment="1">
      <x:alignment vertical="center" wrapText="1"/>
    </x:xf>
    <x:xf numFmtId="0" fontId="2" fillId="2" borderId="1" xfId="0" applyNumberFormat="1" applyFont="1" applyFill="1" applyBorder="1" applyAlignment="1">
      <x:alignment horizontal="left" vertical="center" wrapText="1"/>
    </x:xf>
    <x:xf numFmtId="0" fontId="1" fillId="0" borderId="0" xfId="0" applyNumberFormat="1" applyFont="1" applyFill="1" applyBorder="1" applyAlignment="1">
      <x:alignment horizontal="left" vertical="center" wrapText="1"/>
    </x:xf>
    <x:xf numFmtId="201" fontId="1" fillId="0" borderId="0" xfId="0" applyNumberFormat="1" applyFont="1" applyFill="1" applyBorder="1" applyAlignment="1">
      <x:alignment horizontal="left" vertical="center" wrapText="1"/>
    </x:xf>
    <x:xf numFmtId="202" fontId="1" fillId="0" borderId="0" xfId="0" applyNumberFormat="1" applyFont="1" applyFill="1" applyBorder="1" applyAlignment="1">
      <x:alignment horizontal="left" vertical="center" wrapText="1"/>
    </x:xf>
    <x:xf numFmtId="201" fontId="1" fillId="0" borderId="0" xfId="0" applyNumberFormat="1" applyFont="1" applyFill="1" applyBorder="1" applyAlignment="1">
      <x:alignment horizontal="center" vertical="center" wrapText="1"/>
    </x:xf>
    <x:xf numFmtId="202" fontId="1" fillId="0" borderId="0" xfId="0" applyNumberFormat="1" applyFont="1" applyFill="1" applyBorder="1" applyAlignment="1">
      <x:alignment horizontal="center" vertical="center" wrapText="1"/>
    </x:xf>
    <x:xf numFmtId="204" fontId="1" fillId="0" borderId="0" xfId="0" applyNumberFormat="1" applyFont="1" applyFill="1" applyBorder="1" applyAlignment="1">
      <x:alignment horizontal="left" vertical="center" wrapText="1"/>
    </x:xf>
    <x:xf numFmtId="203" fontId="1" fillId="0" borderId="0" xfId="0" applyNumberFormat="1" applyFont="1" applyFill="1" applyBorder="1" applyAlignment="1">
      <x:alignment horizontal="left" vertical="center" wrapText="1"/>
    </x:xf>
    <x:xf numFmtId="204" fontId="1" fillId="0"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0" fontId="1" fillId="3" borderId="2" xfId="0" applyNumberFormat="1" applyFont="1" applyFill="1" applyBorder="1" applyAlignment="1">
      <x:alignment horizontal="center" vertical="center" wrapText="1"/>
    </x:xf>
    <x:xf numFmtId="0" fontId="1" fillId="3" borderId="2" xfId="0" applyNumberFormat="1" applyFont="1" applyFill="1" applyBorder="1" applyAlignment="1">
      <x:alignment vertic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vertical="center" wrapText="1"/>
    </x:xf>
    <x:xf numFmtId="0" fontId="1" fillId="4" borderId="3" xfId="0" applyNumberFormat="1" applyFont="1" applyFill="1" applyBorder="1" applyAlignment="1">
      <x:alignment horizontal="center" vertical="center" wrapText="1"/>
    </x:xf>
    <x:xf numFmtId="0" fontId="1" fillId="4" borderId="3" xfId="0" applyNumberFormat="1" applyFont="1" applyFill="1" applyBorder="1" applyAlignment="1">
      <x:alignment vertic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0" fontId="1" fillId="5" borderId="4" xfId="0" applyNumberFormat="1" applyFont="1" applyFill="1" applyBorder="1" applyAlignment="1">
      <x:alignment horizontal="center" vertical="center" wrapText="1"/>
    </x:xf>
    <x:xf numFmtId="0" fontId="1" fillId="5" borderId="4" xfId="0" applyNumberFormat="1" applyFont="1" applyFill="1" applyBorder="1" applyAlignment="1">
      <x:alignment vertic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center" wrapText="1"/>
    </x:xf>
    <x:xf numFmtId="0" fontId="1" fillId="6" borderId="5" xfId="0" applyNumberFormat="1" applyFont="1" applyFill="1" applyBorder="1" applyAlignment="1">
      <x:alignment horizontal="center" vertical="center" wrapText="1"/>
    </x:xf>
    <x:xf numFmtId="0" fontId="1" fillId="6" borderId="5" xfId="0" applyNumberFormat="1" applyFont="1" applyFill="1" applyBorder="1" applyAlignment="1">
      <x:alignment vertical="center" wrapText="1"/>
    </x:xf>
    <x:xf numFmtId="0" fontId="1" fillId="7"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201" fontId="1" fillId="7" borderId="0" xfId="0" applyNumberFormat="1" applyFont="1" applyFill="1" applyBorder="1" applyAlignment="1">
      <x:alignment horizontal="center" vertical="center" wrapText="1"/>
    </x:xf>
    <x:xf numFmtId="202" fontId="1" fillId="7" borderId="0" xfId="0" applyNumberFormat="1" applyFont="1" applyFill="1" applyBorder="1" applyAlignment="1">
      <x:alignment horizontal="center" vertical="center" wrapText="1"/>
    </x:xf>
    <x:xf numFmtId="0" fontId="1" fillId="7" borderId="6" xfId="0" applyNumberFormat="1" applyFont="1" applyFill="1" applyBorder="1" applyAlignment="1">
      <x:alignment horizontal="left" vertical="center" wrapText="1"/>
    </x:xf>
    <x:xf numFmtId="0" fontId="1" fillId="7" borderId="6" xfId="0" applyNumberFormat="1" applyFont="1" applyFill="1" applyBorder="1" applyAlignment="1">
      <x:alignment horizontal="center" vertical="center" wrapText="1"/>
    </x:xf>
    <x:xf numFmtId="201" fontId="1" fillId="7" borderId="6" xfId="0" applyNumberFormat="1" applyFont="1" applyFill="1" applyBorder="1" applyAlignment="1">
      <x:alignment horizontal="center" vertical="center" wrapText="1"/>
    </x:xf>
    <x:xf numFmtId="202" fontId="1" fillId="7" borderId="6" xfId="0" applyNumberFormat="1" applyFont="1" applyFill="1" applyBorder="1" applyAlignment="1">
      <x:alignment horizontal="center" vertical="center" wrapText="1"/>
    </x:xf>
    <x:xf numFmtId="0" fontId="1" fillId="8" borderId="0" xfId="0" applyNumberFormat="1" applyFont="1" applyFill="1" applyBorder="1" applyAlignment="1">
      <x:alignment horizontal="left" vertical="center" wrapText="1"/>
    </x:xf>
    <x:xf numFmtId="0" fontId="1" fillId="8" borderId="0" xfId="0" applyNumberFormat="1" applyFont="1" applyFill="1" applyBorder="1" applyAlignment="1">
      <x:alignment horizontal="center" vertical="center" wrapText="1"/>
    </x:xf>
    <x:xf numFmtId="201" fontId="1" fillId="8" borderId="0" xfId="0" applyNumberFormat="1" applyFont="1" applyFill="1" applyBorder="1" applyAlignment="1">
      <x:alignment horizontal="center" vertical="center" wrapText="1"/>
    </x:xf>
    <x:xf numFmtId="202" fontId="1" fillId="8" borderId="0" xfId="0" applyNumberFormat="1" applyFont="1" applyFill="1" applyBorder="1" applyAlignment="1">
      <x:alignment horizontal="center" vertical="center" wrapText="1"/>
    </x:xf>
    <x:xf numFmtId="0" fontId="1" fillId="8" borderId="2" xfId="0" applyNumberFormat="1" applyFont="1" applyFill="1" applyBorder="1" applyAlignment="1">
      <x:alignment horizontal="left" vertical="center" wrapText="1"/>
    </x:xf>
    <x:xf numFmtId="0" fontId="1" fillId="8" borderId="2" xfId="0" applyNumberFormat="1" applyFont="1" applyFill="1" applyBorder="1" applyAlignment="1">
      <x:alignment horizontal="center" vertical="center" wrapText="1"/>
    </x:xf>
    <x:xf numFmtId="201" fontId="1" fillId="8" borderId="2" xfId="0" applyNumberFormat="1" applyFont="1" applyFill="1" applyBorder="1" applyAlignment="1">
      <x:alignment horizontal="center" vertical="center" wrapText="1"/>
    </x:xf>
    <x:xf numFmtId="202" fontId="1" fillId="8" borderId="2" xfId="0" applyNumberFormat="1" applyFont="1" applyFill="1" applyBorder="1" applyAlignment="1">
      <x:alignment horizontal="center" vertical="center" wrapText="1"/>
    </x:xf>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horizontal="center" vertical="center" wrapText="1"/>
    </x:xf>
    <x:xf numFmtId="201" fontId="1" fillId="9" borderId="0" xfId="0" applyNumberFormat="1" applyFont="1" applyFill="1" applyBorder="1" applyAlignment="1">
      <x:alignment horizontal="center" vertical="center" wrapText="1"/>
    </x:xf>
    <x:xf numFmtId="202" fontId="1" fillId="9" borderId="0" xfId="0" applyNumberFormat="1" applyFont="1" applyFill="1" applyBorder="1" applyAlignment="1">
      <x:alignment horizontal="center" vertical="center" wrapText="1"/>
    </x:xf>
    <x:xf numFmtId="0" fontId="1" fillId="9" borderId="7" xfId="0" applyNumberFormat="1" applyFont="1" applyFill="1" applyBorder="1" applyAlignment="1">
      <x:alignment horizontal="left" vertical="center" wrapText="1"/>
    </x:xf>
    <x:xf numFmtId="0" fontId="1" fillId="9" borderId="7" xfId="0" applyNumberFormat="1" applyFont="1" applyFill="1" applyBorder="1" applyAlignment="1">
      <x:alignment horizontal="center" vertical="center" wrapText="1"/>
    </x:xf>
    <x:xf numFmtId="201" fontId="1" fillId="9" borderId="7" xfId="0" applyNumberFormat="1" applyFont="1" applyFill="1" applyBorder="1" applyAlignment="1">
      <x:alignment horizontal="center" vertical="center" wrapText="1"/>
    </x:xf>
    <x:xf numFmtId="202" fontId="1" fillId="9" borderId="7" xfId="0" applyNumberFormat="1" applyFont="1" applyFill="1" applyBorder="1" applyAlignment="1">
      <x:alignment horizontal="center" vertical="center" wrapText="1"/>
    </x:xf>
    <x:xf numFmtId="0" fontId="1" fillId="10"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201" fontId="1" fillId="10" borderId="0" xfId="0" applyNumberFormat="1" applyFont="1" applyFill="1" applyBorder="1" applyAlignment="1">
      <x:alignment horizontal="center" vertical="center" wrapText="1"/>
    </x:xf>
    <x:xf numFmtId="202" fontId="1" fillId="10" borderId="0" xfId="0" applyNumberFormat="1" applyFont="1" applyFill="1" applyBorder="1" applyAlignment="1">
      <x:alignment horizontal="center" vertical="center" wrapText="1"/>
    </x:xf>
    <x:xf numFmtId="0" fontId="1" fillId="10" borderId="8" xfId="0" applyNumberFormat="1" applyFont="1" applyFill="1" applyBorder="1" applyAlignment="1">
      <x:alignment horizontal="left" vertical="center" wrapText="1"/>
    </x:xf>
    <x:xf numFmtId="0" fontId="1" fillId="10" borderId="8" xfId="0" applyNumberFormat="1" applyFont="1" applyFill="1" applyBorder="1" applyAlignment="1">
      <x:alignment horizontal="center" vertical="center" wrapText="1"/>
    </x:xf>
    <x:xf numFmtId="201" fontId="1" fillId="10" borderId="8" xfId="0" applyNumberFormat="1" applyFont="1" applyFill="1" applyBorder="1" applyAlignment="1">
      <x:alignment horizontal="center" vertical="center" wrapText="1"/>
    </x:xf>
    <x:xf numFmtId="202" fontId="1" fillId="10" borderId="8" xfId="0" applyNumberFormat="1" applyFont="1" applyFill="1" applyBorder="1" applyAlignment="1">
      <x:alignment horizontal="center" vertical="center" wrapText="1"/>
    </x:xf>
    <x:xf numFmtId="204" fontId="1" fillId="7" borderId="0" xfId="0" applyNumberFormat="1" applyFont="1" applyFill="1" applyBorder="1" applyAlignment="1">
      <x:alignment horizontal="left" vertical="center" wrapText="1"/>
    </x:xf>
    <x:xf numFmtId="204" fontId="1" fillId="7" borderId="6" xfId="0" applyNumberFormat="1" applyFont="1" applyFill="1" applyBorder="1" applyAlignment="1">
      <x:alignment horizontal="left" vertical="center" wrapText="1"/>
    </x:xf>
    <x:xf numFmtId="204" fontId="1" fillId="8" borderId="0" xfId="0" applyNumberFormat="1" applyFont="1" applyFill="1" applyBorder="1" applyAlignment="1">
      <x:alignment horizontal="left" vertical="center" wrapText="1"/>
    </x:xf>
    <x:xf numFmtId="204" fontId="1" fillId="8" borderId="2" xfId="0" applyNumberFormat="1" applyFont="1" applyFill="1" applyBorder="1" applyAlignment="1">
      <x:alignment horizontal="left" vertical="center" wrapText="1"/>
    </x:xf>
    <x:xf numFmtId="204" fontId="1" fillId="9" borderId="0" xfId="0" applyNumberFormat="1" applyFont="1" applyFill="1" applyBorder="1" applyAlignment="1">
      <x:alignment horizontal="left" vertical="center" wrapText="1"/>
    </x:xf>
    <x:xf numFmtId="204" fontId="1" fillId="9" borderId="7" xfId="0" applyNumberFormat="1" applyFont="1" applyFill="1" applyBorder="1" applyAlignment="1">
      <x:alignment horizontal="left" vertical="center" wrapText="1"/>
    </x:xf>
    <x:xf numFmtId="204" fontId="1" fillId="10" borderId="0" xfId="0" applyNumberFormat="1" applyFont="1" applyFill="1" applyBorder="1" applyAlignment="1">
      <x:alignment horizontal="left" vertical="center" wrapText="1"/>
    </x:xf>
    <x:xf numFmtId="204" fontId="1" fillId="10" borderId="8" xfId="0" applyNumberFormat="1" applyFont="1" applyFill="1" applyBorder="1" applyAlignment="1">
      <x:alignment horizontal="left" vertical="center" wrapText="1"/>
    </x:xf>
    <x:xf numFmtId="0" fontId="1" fillId="11" borderId="0" xfId="0" applyNumberFormat="1" applyFont="1" applyFill="1" applyBorder="1" applyAlignment="1">
      <x:alignment horizontal="left" vertical="center" wrapText="1"/>
    </x:xf>
    <x:xf numFmtId="0" fontId="1" fillId="11" borderId="0" xfId="0" applyNumberFormat="1" applyFont="1" applyFill="1" applyBorder="1" applyAlignment="1">
      <x:alignment horizontal="center" vertical="center" wrapText="1"/>
    </x:xf>
    <x:xf numFmtId="202" fontId="1" fillId="11" borderId="0" xfId="0" applyNumberFormat="1" applyFont="1" applyFill="1" applyBorder="1" applyAlignment="1">
      <x:alignment horizontal="center" vertical="center" wrapText="1"/>
    </x:xf>
    <x:xf numFmtId="204" fontId="1" fillId="11" borderId="0" xfId="0" applyNumberFormat="1" applyFont="1" applyFill="1" applyBorder="1" applyAlignment="1">
      <x:alignment horizontal="center" vertical="center" wrapText="1"/>
    </x:xf>
    <x:xf numFmtId="203" fontId="1" fillId="11" borderId="0" xfId="0" applyNumberFormat="1" applyFont="1" applyFill="1" applyBorder="1" applyAlignment="1">
      <x:alignment horizontal="left" vertical="center" wrapText="1"/>
    </x:xf>
    <x:xf numFmtId="0" fontId="1" fillId="11" borderId="2" xfId="0" applyNumberFormat="1" applyFont="1" applyFill="1" applyBorder="1" applyAlignment="1">
      <x:alignment horizontal="left" vertical="center" wrapText="1"/>
    </x:xf>
    <x:xf numFmtId="0" fontId="1" fillId="11" borderId="2" xfId="0" applyNumberFormat="1" applyFont="1" applyFill="1" applyBorder="1" applyAlignment="1">
      <x:alignment horizontal="center" vertical="center" wrapText="1"/>
    </x:xf>
    <x:xf numFmtId="202" fontId="1" fillId="11" borderId="2" xfId="0" applyNumberFormat="1" applyFont="1" applyFill="1" applyBorder="1" applyAlignment="1">
      <x:alignment horizontal="center" vertical="center" wrapText="1"/>
    </x:xf>
    <x:xf numFmtId="204" fontId="1" fillId="11" borderId="2" xfId="0" applyNumberFormat="1" applyFont="1" applyFill="1" applyBorder="1" applyAlignment="1">
      <x:alignment horizontal="center" vertical="center" wrapText="1"/>
    </x:xf>
    <x:xf numFmtId="203" fontId="1" fillId="11" borderId="2" xfId="0" applyNumberFormat="1" applyFont="1" applyFill="1" applyBorder="1" applyAlignment="1">
      <x:alignment horizontal="left" vertical="center" wrapText="1"/>
    </x:xf>
    <x:xf numFmtId="0" fontId="1" fillId="12" borderId="0" xfId="0" applyNumberFormat="1" applyFont="1" applyFill="1" applyBorder="1" applyAlignment="1">
      <x:alignment horizontal="left" vertical="center" wrapText="1"/>
    </x:xf>
    <x:xf numFmtId="0" fontId="1" fillId="12" borderId="0" xfId="0" applyNumberFormat="1" applyFont="1" applyFill="1" applyBorder="1" applyAlignment="1">
      <x:alignment horizontal="center" vertical="center" wrapText="1"/>
    </x:xf>
    <x:xf numFmtId="202" fontId="1" fillId="12" borderId="0" xfId="0" applyNumberFormat="1" applyFont="1" applyFill="1" applyBorder="1" applyAlignment="1">
      <x:alignment horizontal="center" vertical="center" wrapText="1"/>
    </x:xf>
    <x:xf numFmtId="204" fontId="1" fillId="12" borderId="0" xfId="0" applyNumberFormat="1" applyFont="1" applyFill="1" applyBorder="1" applyAlignment="1">
      <x:alignment horizontal="center" vertical="center" wrapText="1"/>
    </x:xf>
    <x:xf numFmtId="203" fontId="1" fillId="12" borderId="0" xfId="0" applyNumberFormat="1" applyFont="1" applyFill="1" applyBorder="1" applyAlignment="1">
      <x:alignment horizontal="left" vertical="center" wrapText="1"/>
    </x:xf>
    <x:xf numFmtId="0" fontId="1" fillId="12" borderId="6" xfId="0" applyNumberFormat="1" applyFont="1" applyFill="1" applyBorder="1" applyAlignment="1">
      <x:alignment horizontal="left" vertical="center" wrapText="1"/>
    </x:xf>
    <x:xf numFmtId="0" fontId="1" fillId="12" borderId="6" xfId="0" applyNumberFormat="1" applyFont="1" applyFill="1" applyBorder="1" applyAlignment="1">
      <x:alignment horizontal="center" vertical="center" wrapText="1"/>
    </x:xf>
    <x:xf numFmtId="202" fontId="1" fillId="12" borderId="6" xfId="0" applyNumberFormat="1" applyFont="1" applyFill="1" applyBorder="1" applyAlignment="1">
      <x:alignment horizontal="center" vertical="center" wrapText="1"/>
    </x:xf>
    <x:xf numFmtId="204" fontId="1" fillId="12" borderId="6" xfId="0" applyNumberFormat="1" applyFont="1" applyFill="1" applyBorder="1" applyAlignment="1">
      <x:alignment horizontal="center" vertical="center" wrapText="1"/>
    </x:xf>
    <x:xf numFmtId="203" fontId="1" fillId="12" borderId="6"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center" vertical="center" wrapText="1"/>
    </x:xf>
    <x:xf numFmtId="202" fontId="1" fillId="13" borderId="0" xfId="0" applyNumberFormat="1" applyFont="1" applyFill="1" applyBorder="1" applyAlignment="1">
      <x:alignment horizontal="center" vertical="center" wrapText="1"/>
    </x:xf>
    <x:xf numFmtId="204" fontId="1" fillId="13" borderId="0" xfId="0" applyNumberFormat="1" applyFont="1" applyFill="1" applyBorder="1" applyAlignment="1">
      <x:alignment horizontal="center" vertical="center" wrapText="1"/>
    </x:xf>
    <x:xf numFmtId="203" fontId="1" fillId="13" borderId="0" xfId="0" applyNumberFormat="1" applyFont="1" applyFill="1" applyBorder="1" applyAlignment="1">
      <x:alignment horizontal="left" vertical="center" wrapText="1"/>
    </x:xf>
    <x:xf numFmtId="0" fontId="1" fillId="13" borderId="3" xfId="0" applyNumberFormat="1" applyFont="1" applyFill="1" applyBorder="1" applyAlignment="1">
      <x:alignment horizontal="left" vertical="center" wrapText="1"/>
    </x:xf>
    <x:xf numFmtId="0" fontId="1" fillId="13" borderId="3" xfId="0" applyNumberFormat="1" applyFont="1" applyFill="1" applyBorder="1" applyAlignment="1">
      <x:alignment horizontal="center" vertical="center" wrapText="1"/>
    </x:xf>
    <x:xf numFmtId="202" fontId="1" fillId="13" borderId="3" xfId="0" applyNumberFormat="1" applyFont="1" applyFill="1" applyBorder="1" applyAlignment="1">
      <x:alignment horizontal="center" vertical="center" wrapText="1"/>
    </x:xf>
    <x:xf numFmtId="204" fontId="1" fillId="13" borderId="3" xfId="0" applyNumberFormat="1" applyFont="1" applyFill="1" applyBorder="1" applyAlignment="1">
      <x:alignment horizontal="center" vertical="center" wrapText="1"/>
    </x:xf>
    <x:xf numFmtId="203" fontId="1" fillId="13" borderId="3" xfId="0" applyNumberFormat="1" applyFont="1" applyFill="1" applyBorder="1" applyAlignment="1">
      <x:alignment horizontal="left" vertical="center" wrapText="1"/>
    </x:xf>
    <x:xf numFmtId="0" fontId="1" fillId="6" borderId="0" xfId="0" applyNumberFormat="1" applyFont="1" applyFill="1" applyBorder="1" applyAlignment="1">
      <x:alignment horizontal="left" vertical="center" wrapText="1"/>
    </x:xf>
    <x:xf numFmtId="202" fontId="1" fillId="6" borderId="0" xfId="0" applyNumberFormat="1" applyFont="1" applyFill="1" applyBorder="1" applyAlignment="1">
      <x:alignment horizontal="center" vertical="center" wrapText="1"/>
    </x:xf>
    <x:xf numFmtId="204" fontId="1" fillId="6" borderId="0" xfId="0" applyNumberFormat="1" applyFont="1" applyFill="1" applyBorder="1" applyAlignment="1">
      <x:alignment horizontal="center" vertical="center" wrapText="1"/>
    </x:xf>
    <x:xf numFmtId="203" fontId="1" fillId="6" borderId="0" xfId="0" applyNumberFormat="1" applyFont="1" applyFill="1" applyBorder="1" applyAlignment="1">
      <x:alignment horizontal="left" vertical="center" wrapText="1"/>
    </x:xf>
    <x:xf numFmtId="0" fontId="1" fillId="6" borderId="5" xfId="0" applyNumberFormat="1" applyFont="1" applyFill="1" applyBorder="1" applyAlignment="1">
      <x:alignment horizontal="left" vertical="center" wrapText="1"/>
    </x:xf>
    <x:xf numFmtId="202" fontId="1" fillId="6" borderId="5" xfId="0" applyNumberFormat="1" applyFont="1" applyFill="1" applyBorder="1" applyAlignment="1">
      <x:alignment horizontal="center" vertical="center" wrapText="1"/>
    </x:xf>
    <x:xf numFmtId="204" fontId="1" fillId="6" borderId="5" xfId="0" applyNumberFormat="1" applyFont="1" applyFill="1" applyBorder="1" applyAlignment="1">
      <x:alignment horizontal="center" vertical="center" wrapText="1"/>
    </x:xf>
    <x:xf numFmtId="203" fontId="1" fillId="6" borderId="5" xfId="0" applyNumberFormat="1" applyFont="1" applyFill="1" applyBorder="1" applyAlignment="1">
      <x:alignment horizontal="left" vertical="center" wrapText="1"/>
    </x:xf>
    <x:xf numFmtId="0" fontId="1" fillId="0" borderId="9" xfId="0" applyNumberFormat="1" applyFont="1" applyFill="1" applyBorder="1" applyAlignment="1">
      <x:alignment vertical="center" wrapText="1"/>
    </x:xf>
    <x:xf numFmtId="203" fontId="1" fillId="0" borderId="9" xfId="0" applyNumberFormat="1" applyFont="1" applyFill="1" applyBorder="1" applyAlignment="1">
      <x:alignment horizontal="center" vertical="center" wrapText="1"/>
    </x:xf>
    <x:xf numFmtId="203" fontId="3" fillId="0" borderId="9" xfId="0" applyNumberFormat="1" applyFont="1" applyFill="1" applyBorder="1" applyAlignment="1">
      <x:alignment horizontal="center" vertical="center" wrapText="1"/>
    </x:xf>
    <x:xf numFmtId="0" fontId="1" fillId="0" borderId="9" xfId="0" applyNumberFormat="1" applyFont="1" applyFill="1" applyBorder="1" applyAlignment="1">
      <x:alignment horizontal="center" vertical="center" wrapText="1"/>
    </x:xf>
    <x:xf numFmtId="0" fontId="1" fillId="14" borderId="9" xfId="0" applyNumberFormat="1" applyFont="1" applyFill="1" applyBorder="1" applyAlignment="1">
      <x:alignment vertical="center" wrapText="1"/>
    </x:xf>
    <x:xf numFmtId="203" fontId="1" fillId="14" borderId="9" xfId="0" applyNumberFormat="1" applyFont="1" applyFill="1" applyBorder="1" applyAlignment="1">
      <x:alignment horizontal="center" vertical="center" wrapText="1"/>
    </x:xf>
    <x:xf numFmtId="203" fontId="3" fillId="14" borderId="9" xfId="0" applyNumberFormat="1" applyFont="1" applyFill="1" applyBorder="1" applyAlignment="1">
      <x:alignment horizontal="center" vertical="center" wrapText="1"/>
    </x:xf>
    <x:xf numFmtId="0" fontId="1" fillId="14" borderId="9" xfId="0" applyNumberFormat="1" applyFont="1" applyFill="1" applyBorder="1" applyAlignment="1">
      <x:alignment horizontal="center" vertical="center" wrapText="1"/>
    </x:xf>
    <x:xf numFmtId="0" fontId="1" fillId="7" borderId="9" xfId="0" applyNumberFormat="1" applyFont="1" applyFill="1" applyBorder="1" applyAlignment="1">
      <x:alignment vertical="center" wrapText="1"/>
    </x:xf>
    <x:xf numFmtId="0" fontId="4" fillId="7" borderId="9" xfId="0" applyNumberFormat="1" applyFont="1" applyFill="1" applyBorder="1" applyAlignment="1">
      <x:alignment vertical="center" wrapText="1"/>
    </x:xf>
    <x:xf numFmtId="0" fontId="4" fillId="7" borderId="9" xfId="0" applyNumberFormat="1" applyFont="1" applyFill="1" applyBorder="1" applyAlignment="1">
      <x:alignment horizontal="center" vertical="center" wrapText="1"/>
    </x:xf>
    <x:xf numFmtId="0" fontId="1" fillId="14" borderId="0" xfId="0" applyNumberFormat="1" applyFont="1" applyFill="1" applyBorder="1" applyAlignment="1">
      <x:alignment vertical="center" wrapText="1"/>
    </x:xf>
    <x:xf numFmtId="203" fontId="1" fillId="14" borderId="0" xfId="0" applyNumberFormat="1" applyFont="1" applyFill="1" applyBorder="1" applyAlignment="1">
      <x:alignment horizontal="center" vertical="center" wrapText="1"/>
    </x:xf>
    <x:xf numFmtId="203" fontId="3" fillId="14" borderId="0" xfId="0" applyNumberFormat="1" applyFont="1" applyFill="1" applyBorder="1" applyAlignment="1">
      <x:alignment horizontal="center" vertical="center" wrapText="1"/>
    </x:xf>
    <x:xf numFmtId="0" fontId="1" fillId="14" borderId="0" xfId="0" applyNumberFormat="1" applyFont="1" applyFill="1" applyBorder="1" applyAlignment="1">
      <x:alignment horizontal="center" vertical="center" wrapText="1"/>
    </x:xf>
    <x:xf numFmtId="0" fontId="1" fillId="7" borderId="0" xfId="0" applyNumberFormat="1" applyFont="1" applyFill="1" applyBorder="1" applyAlignment="1">
      <x:alignment vertical="center" wrapText="1"/>
    </x:xf>
    <x:xf numFmtId="0" fontId="4" fillId="7" borderId="0" xfId="0" applyNumberFormat="1" applyFont="1" applyFill="1" applyBorder="1" applyAlignment="1">
      <x:alignment vertical="center" wrapText="1"/>
    </x:xf>
    <x:xf numFmtId="0" fontId="4" fillId="7" borderId="0" xfId="0" applyNumberFormat="1" applyFont="1" applyFill="1" applyBorder="1" applyAlignment="1">
      <x:alignment horizontal="center" vertical="center" wrapText="1"/>
    </x:xf>
    <x:xf numFmtId="0" fontId="1" fillId="8" borderId="0" xfId="0" applyNumberFormat="1" applyFont="1" applyFill="1" applyBorder="1" applyAlignment="1">
      <x:alignment vertical="center" wrapText="1"/>
    </x:xf>
    <x:xf numFmtId="0" fontId="5" fillId="8" borderId="0" xfId="0" applyNumberFormat="1" applyFont="1" applyFill="1" applyBorder="1" applyAlignment="1">
      <x:alignment vertical="center" wrapText="1"/>
    </x:xf>
    <x:xf numFmtId="0" fontId="5" fillId="8" borderId="0" xfId="0" applyNumberFormat="1" applyFont="1" applyFill="1" applyBorder="1" applyAlignment="1">
      <x:alignment horizontal="center" vertical="center" wrapText="1"/>
    </x:xf>
    <x:xf numFmtId="0" fontId="1" fillId="9" borderId="0"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0" fontId="6" fillId="9" borderId="0" xfId="0" applyNumberFormat="1" applyFont="1" applyFill="1" applyBorder="1" applyAlignment="1">
      <x:alignment horizontal="center" vertical="center" wrapText="1"/>
    </x:xf>
    <x:xf numFmtId="0" fontId="1" fillId="10" borderId="0" xfId="0" applyNumberFormat="1" applyFont="1" applyFill="1" applyBorder="1" applyAlignment="1">
      <x:alignment vertical="center" wrapText="1"/>
    </x:xf>
    <x:xf numFmtId="0" fontId="7" fillId="10" borderId="0" xfId="0" applyNumberFormat="1" applyFont="1" applyFill="1" applyBorder="1" applyAlignment="1">
      <x:alignment vertical="center" wrapText="1"/>
    </x:xf>
    <x:xf numFmtId="0" fontId="7" fillId="10" borderId="0" xfId="0" applyNumberFormat="1" applyFont="1" applyFill="1" applyBorder="1" applyAlignment="1">
      <x:alignment horizontal="center" vertical="center" wrapText="1"/>
    </x:xf>
    <x:xf numFmtId="0" fontId="1" fillId="15" borderId="9" xfId="0" applyNumberFormat="1" applyFont="1" applyFill="1" applyBorder="1" applyAlignment="1">
      <x:alignment vertical="center" wrapText="1"/>
    </x:xf>
    <x:xf numFmtId="203" fontId="1" fillId="15" borderId="9" xfId="0" applyNumberFormat="1" applyFont="1" applyFill="1" applyBorder="1" applyAlignment="1">
      <x:alignment horizontal="center" vertical="center" wrapText="1"/>
    </x:xf>
    <x:xf numFmtId="203" fontId="3" fillId="15" borderId="9" xfId="0" applyNumberFormat="1" applyFont="1" applyFill="1" applyBorder="1" applyAlignment="1">
      <x:alignment horizontal="center" vertical="center" wrapText="1"/>
    </x:xf>
    <x:xf numFmtId="0" fontId="1" fillId="15" borderId="9" xfId="0" applyNumberFormat="1" applyFont="1" applyFill="1" applyBorder="1" applyAlignment="1">
      <x:alignment horizontal="center" vertical="center" wrapText="1"/>
    </x:xf>
    <x:xf numFmtId="0" fontId="1" fillId="15" borderId="0" xfId="0" applyNumberFormat="1" applyFont="1" applyFill="1" applyBorder="1" applyAlignment="1">
      <x:alignment vertical="center" wrapText="1"/>
    </x:xf>
    <x:xf numFmtId="203" fontId="1" fillId="15" borderId="0" xfId="0" applyNumberFormat="1" applyFont="1" applyFill="1" applyBorder="1" applyAlignment="1">
      <x:alignment horizontal="center" vertical="center" wrapText="1"/>
    </x:xf>
    <x:xf numFmtId="203" fontId="3" fillId="15" borderId="0" xfId="0" applyNumberFormat="1" applyFont="1" applyFill="1" applyBorder="1" applyAlignment="1">
      <x:alignment horizontal="center" vertical="center" wrapText="1"/>
    </x:xf>
    <x:xf numFmtId="0" fontId="1" fillId="15" borderId="0" xfId="0" applyNumberFormat="1" applyFont="1" applyFill="1" applyBorder="1" applyAlignment="1">
      <x:alignment horizontal="center" vertical="center" wrapText="1"/>
    </x:xf>
    <x:xf numFmtId="0" fontId="1" fillId="16" borderId="6" xfId="0" applyNumberFormat="1" applyFont="1" applyFill="1" applyBorder="1" applyAlignment="1">
      <x:alignment horizontal="center" vertical="center" wrapText="1"/>
    </x:xf>
    <x:xf numFmtId="0" fontId="2" fillId="16" borderId="6" xfId="0" applyNumberFormat="1" applyFont="1" applyFill="1" applyBorder="1" applyAlignment="1">
      <x:alignment horizontal="center" vertical="center" wrapText="1"/>
    </x:xf>
    <x:xf numFmtId="0" fontId="1" fillId="16" borderId="0" xfId="0" applyNumberFormat="1" applyFont="1" applyFill="1" applyBorder="1" applyAlignment="1">
      <x:alignment horizontal="center" vertical="center" wrapText="1"/>
    </x:xf>
    <x:xf numFmtId="0" fontId="2" fillId="16" borderId="0" xfId="0" applyNumberFormat="1" applyFont="1" applyFill="1" applyBorder="1" applyAlignment="1">
      <x:alignment horizontal="center" vertical="center" wrapText="1"/>
    </x:xf>
    <x:xf numFmtId="0" fontId="1" fillId="17" borderId="2" xfId="0" applyNumberFormat="1" applyFont="1" applyFill="1" applyBorder="1" applyAlignment="1">
      <x:alignment horizontal="center" vertical="center" wrapText="1"/>
    </x:xf>
    <x:xf numFmtId="0" fontId="2" fillId="17" borderId="2" xfId="0" applyNumberFormat="1" applyFont="1" applyFill="1" applyBorder="1" applyAlignment="1">
      <x:alignment horizontal="center" vertical="center" wrapText="1"/>
    </x:xf>
    <x:xf numFmtId="0" fontId="1" fillId="17" borderId="0" xfId="0" applyNumberFormat="1" applyFont="1" applyFill="1" applyBorder="1" applyAlignment="1">
      <x:alignment horizontal="center" vertical="center" wrapText="1"/>
    </x:xf>
    <x:xf numFmtId="0" fontId="2" fillId="17" borderId="0" xfId="0" applyNumberFormat="1" applyFont="1" applyFill="1" applyBorder="1" applyAlignment="1">
      <x:alignment horizontal="center" vertical="center" wrapText="1"/>
    </x:xf>
    <x:xf numFmtId="0" fontId="1" fillId="18" borderId="7" xfId="0" applyNumberFormat="1" applyFont="1" applyFill="1" applyBorder="1" applyAlignment="1">
      <x:alignment horizontal="center" vertical="center" wrapText="1"/>
    </x:xf>
    <x:xf numFmtId="0" fontId="2" fillId="18" borderId="7" xfId="0" applyNumberFormat="1" applyFont="1" applyFill="1" applyBorder="1" applyAlignment="1">
      <x:alignment horizontal="center" vertical="center" wrapText="1"/>
    </x:xf>
    <x:xf numFmtId="0" fontId="1" fillId="18"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1" fillId="19" borderId="8" xfId="0" applyNumberFormat="1" applyFont="1" applyFill="1" applyBorder="1" applyAlignment="1">
      <x:alignment horizontal="center" vertical="center" wrapText="1"/>
    </x:xf>
    <x:xf numFmtId="0" fontId="2" fillId="19" borderId="8" xfId="0" applyNumberFormat="1" applyFont="1" applyFill="1" applyBorder="1" applyAlignment="1">
      <x:alignment horizontal="center" vertical="center" wrapText="1"/>
    </x:xf>
    <x:xf numFmtId="0" fontId="1" fillId="19" borderId="0" xfId="0" applyNumberFormat="1" applyFont="1" applyFill="1" applyBorder="1" applyAlignment="1">
      <x:alignment horizontal="center" vertical="center" wrapText="1"/>
    </x:xf>
    <x:xf numFmtId="0" fontId="2" fillId="19" borderId="0" xfId="0" applyNumberFormat="1" applyFont="1" applyFill="1" applyBorder="1" applyAlignment="1">
      <x:alignment horizontal="center" vertical="center" wrapText="1"/>
    </x:xf>
    <x:xf numFmtId="0" fontId="1" fillId="16" borderId="2" xfId="0" applyNumberFormat="1" applyFont="1" applyFill="1" applyBorder="1" applyAlignment="1">
      <x:alignment horizontal="center" vertical="center" wrapText="1"/>
    </x:xf>
    <x:xf numFmtId="0" fontId="2" fillId="16" borderId="2" xfId="0" applyNumberFormat="1" applyFont="1" applyFill="1" applyBorder="1" applyAlignment="1">
      <x:alignment horizontal="center" vertical="center" wrapText="1"/>
    </x:xf>
    <x:xf numFmtId="0" fontId="1" fillId="17" borderId="2" xfId="0" applyNumberFormat="1" applyFont="1" applyFill="1" applyBorder="1" applyAlignment="1">
      <x:alignment horizontal="left" vertical="center" wrapText="1"/>
    </x:xf>
    <x:xf numFmtId="0" fontId="2" fillId="17" borderId="2" xfId="0" applyNumberFormat="1" applyFont="1" applyFill="1" applyBorder="1" applyAlignment="1">
      <x:alignment horizontal="left" vertical="center" wrapText="1"/>
    </x:xf>
    <x:xf numFmtId="0" fontId="1" fillId="17" borderId="0" xfId="0" applyNumberFormat="1" applyFont="1" applyFill="1" applyBorder="1" applyAlignment="1">
      <x:alignment horizontal="left" vertical="center" wrapText="1"/>
    </x:xf>
    <x:xf numFmtId="0" fontId="2" fillId="17" borderId="0" xfId="0" applyNumberFormat="1" applyFont="1" applyFill="1" applyBorder="1" applyAlignment="1">
      <x:alignment horizontal="left" vertical="center" wrapText="1"/>
    </x:xf>
    <x:xf numFmtId="0" fontId="1" fillId="16" borderId="6" xfId="0" applyNumberFormat="1" applyFont="1" applyFill="1" applyBorder="1" applyAlignment="1">
      <x:alignment horizontal="left" vertical="center" wrapText="1"/>
    </x:xf>
    <x:xf numFmtId="0" fontId="2" fillId="16" borderId="6" xfId="0" applyNumberFormat="1" applyFont="1" applyFill="1" applyBorder="1" applyAlignment="1">
      <x:alignment horizontal="left" vertical="center" wrapText="1"/>
    </x:xf>
    <x:xf numFmtId="0" fontId="1" fillId="16" borderId="0" xfId="0" applyNumberFormat="1" applyFont="1" applyFill="1" applyBorder="1" applyAlignment="1">
      <x:alignment horizontal="left" vertical="center" wrapText="1"/>
    </x:xf>
    <x:xf numFmtId="0" fontId="2" fillId="16" borderId="0" xfId="0" applyNumberFormat="1" applyFont="1" applyFill="1" applyBorder="1" applyAlignment="1">
      <x:alignment horizontal="left" vertical="center" wrapText="1"/>
    </x:xf>
    <x:xf numFmtId="0" fontId="1" fillId="16" borderId="3" xfId="0" applyNumberFormat="1" applyFont="1" applyFill="1" applyBorder="1" applyAlignment="1">
      <x:alignment horizontal="center" vertical="center" wrapText="1"/>
    </x:xf>
    <x:xf numFmtId="0" fontId="2" fillId="16" borderId="3" xfId="0" applyNumberFormat="1" applyFont="1" applyFill="1" applyBorder="1" applyAlignment="1">
      <x:alignment horizontal="center" vertical="center" wrapText="1"/>
    </x:xf>
    <x:xf numFmtId="0" fontId="1" fillId="20" borderId="3" xfId="0" applyNumberFormat="1" applyFont="1" applyFill="1" applyBorder="1" applyAlignment="1">
      <x:alignment horizontal="left" vertical="center" wrapText="1"/>
    </x:xf>
    <x:xf numFmtId="0" fontId="2" fillId="20" borderId="3" xfId="0" applyNumberFormat="1" applyFont="1" applyFill="1" applyBorder="1" applyAlignment="1">
      <x:alignment horizontal="left" vertical="center" wrapText="1"/>
    </x:xf>
    <x:xf numFmtId="0" fontId="2" fillId="20" borderId="3" xfId="0" applyNumberFormat="1" applyFont="1" applyFill="1" applyBorder="1" applyAlignment="1">
      <x:alignment horizontal="center" vertical="center" wrapText="1"/>
    </x:xf>
    <x:xf numFmtId="0" fontId="1" fillId="20" borderId="0" xfId="0" applyNumberFormat="1" applyFont="1" applyFill="1" applyBorder="1" applyAlignment="1">
      <x:alignment horizontal="left" vertical="center" wrapText="1"/>
    </x:xf>
    <x:xf numFmtId="0" fontId="2" fillId="20" borderId="0" xfId="0" applyNumberFormat="1" applyFont="1" applyFill="1" applyBorder="1" applyAlignment="1">
      <x:alignment horizontal="left" vertical="center" wrapText="1"/>
    </x:xf>
    <x:xf numFmtId="0" fontId="2" fillId="20" borderId="0" xfId="0" applyNumberFormat="1" applyFont="1" applyFill="1" applyBorder="1" applyAlignment="1">
      <x:alignment horizontal="center" vertical="center" wrapText="1"/>
    </x:xf>
    <x:xf numFmtId="0" fontId="1" fillId="16" borderId="5" xfId="0" applyNumberFormat="1" applyFont="1" applyFill="1" applyBorder="1" applyAlignment="1">
      <x:alignment horizontal="center" vertical="center" wrapText="1"/>
    </x:xf>
    <x:xf numFmtId="0" fontId="2" fillId="16" borderId="5" xfId="0" applyNumberFormat="1" applyFont="1" applyFill="1" applyBorder="1" applyAlignment="1">
      <x:alignment horizontal="center" vertical="center" wrapText="1"/>
    </x:xf>
    <x:xf numFmtId="0" fontId="1" fillId="21" borderId="5" xfId="0" applyNumberFormat="1" applyFont="1" applyFill="1" applyBorder="1" applyAlignment="1">
      <x:alignment horizontal="left" vertical="center" wrapText="1"/>
    </x:xf>
    <x:xf numFmtId="0" fontId="2" fillId="21" borderId="5" xfId="0" applyNumberFormat="1" applyFont="1" applyFill="1" applyBorder="1" applyAlignment="1">
      <x:alignment horizontal="left" vertical="center" wrapText="1"/>
    </x:xf>
    <x:xf numFmtId="0" fontId="2" fillId="21" borderId="5" xfId="0" applyNumberFormat="1" applyFont="1" applyFill="1" applyBorder="1" applyAlignment="1">
      <x:alignment horizontal="center" vertical="center" wrapText="1"/>
    </x:xf>
    <x:xf numFmtId="0" fontId="1" fillId="21" borderId="0" xfId="0" applyNumberFormat="1" applyFont="1" applyFill="1" applyBorder="1" applyAlignment="1">
      <x:alignment horizontal="left" vertical="center" wrapText="1"/>
    </x:xf>
    <x:xf numFmtId="0" fontId="2" fillId="21" borderId="0" xfId="0" applyNumberFormat="1" applyFont="1" applyFill="1" applyBorder="1" applyAlignment="1">
      <x:alignment horizontal="left" vertical="center" wrapText="1"/>
    </x:xf>
    <x:xf numFmtId="0" fontId="2" fillId="21" borderId="0"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3" fillId="6" borderId="5"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center" wrapText="1"/>
    </x:xf>
    <x:xf numFmtId="0" fontId="3" fillId="14" borderId="9" xfId="0" applyNumberFormat="1" applyFont="1" applyFill="1" applyBorder="1" applyAlignment="1">
      <x:alignment vertical="center" wrapText="1"/>
    </x:xf>
    <x:xf numFmtId="0" fontId="3" fillId="14" borderId="0" xfId="0" applyNumberFormat="1" applyFont="1" applyFill="1" applyBorder="1" applyAlignment="1">
      <x:alignment vertical="center" wrapText="1"/>
    </x:xf>
    <x:xf numFmtId="0" fontId="3" fillId="15" borderId="9" xfId="0" applyNumberFormat="1" applyFont="1" applyFill="1" applyBorder="1" applyAlignment="1">
      <x:alignment vertical="center" wrapText="1"/>
    </x:xf>
    <x:xf numFmtId="0" fontId="3" fillId="15" borderId="0" xfId="0" applyNumberFormat="1" applyFont="1" applyFill="1" applyBorder="1" applyAlignment="1">
      <x:alignment vertical="center" wrapText="1"/>
    </x:xf>
    <x:xf numFmtId="0" fontId="3" fillId="11" borderId="2" xfId="0" applyNumberFormat="1" applyFont="1" applyFill="1" applyBorder="1" applyAlignment="1">
      <x:alignment horizontal="left" vertical="center" wrapText="1"/>
    </x:xf>
    <x:xf numFmtId="0" fontId="3" fillId="11" borderId="0" xfId="0" applyNumberFormat="1" applyFont="1" applyFill="1" applyBorder="1" applyAlignment="1">
      <x:alignment horizontal="left" vertical="center" wrapText="1"/>
    </x:xf>
    <x:xf numFmtId="0" fontId="3" fillId="12" borderId="6" xfId="0" applyNumberFormat="1" applyFont="1" applyFill="1" applyBorder="1" applyAlignment="1">
      <x:alignment horizontal="left" vertical="center" wrapText="1"/>
    </x:xf>
    <x:xf numFmtId="0" fontId="3" fillId="12" borderId="0" xfId="0" applyNumberFormat="1" applyFont="1" applyFill="1" applyBorder="1" applyAlignment="1">
      <x:alignment horizontal="left" vertical="center" wrapText="1"/>
    </x:xf>
    <x:xf numFmtId="0" fontId="3" fillId="13" borderId="3" xfId="0" applyNumberFormat="1" applyFont="1" applyFill="1" applyBorder="1" applyAlignment="1">
      <x:alignment horizontal="left" vertical="center" wrapText="1"/>
    </x:xf>
    <x:xf numFmtId="0" fontId="3" fillId="13" borderId="0" xfId="0" applyNumberFormat="1" applyFont="1" applyFill="1" applyBorder="1" applyAlignment="1">
      <x:alignment horizontal="left" vertical="center" wrapText="1"/>
    </x:xf>
    <x:xf numFmtId="0" fontId="3" fillId="6" borderId="5" xfId="0" applyNumberFormat="1" applyFont="1" applyFill="1" applyBorder="1" applyAlignment="1">
      <x:alignment horizontal="left" vertical="center" wrapText="1"/>
    </x:xf>
    <x:xf numFmtId="0" fontId="3" fillId="6" borderId="0" xfId="0" applyNumberFormat="1" applyFont="1" applyFill="1" applyBorder="1" applyAlignment="1">
      <x:alignment horizontal="left" vertical="center" wrapText="1"/>
    </x:xf>
  </x:cellXfs>
  <x:cellStyles count="1">
    <x:cellStyle name="Normal" xfId="0"/>
  </x:cellStyles>
  <x:dxfs count="8">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1E40AF"/>
      </x:font>
      <x:fill>
        <x:patternFill patternType="solid">
          <x:bgColor rgb="FFDBEAFE"/>
        </x:patternFill>
      </x:fill>
    </x:dxf>
    <x:dxf>
      <x:font>
        <x:b/>
        <x:color rgb="FF7F6000"/>
      </x:font>
      <x:fill>
        <x:patternFill patternType="solid">
          <x:bgColor rgb="FFFFF2CC"/>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58a7934b0e74627" /><Relationship Type="http://schemas.openxmlformats.org/officeDocument/2006/relationships/theme" Target="/xl/theme/theme1.xml" Id="R10c4195da7284cd2" /><Relationship Type="http://schemas.openxmlformats.org/officeDocument/2006/relationships/sharedStrings" Target="/xl/sharedStrings.xml" Id="R757ee2b91a784779" /><Relationship Type="http://schemas.openxmlformats.org/officeDocument/2006/relationships/worksheet" Target="/xl/worksheets/sheet1.xml" Id="R334a462f5d5642d7" /><Relationship Type="http://schemas.openxmlformats.org/officeDocument/2006/relationships/worksheet" Target="/xl/worksheets/sheet2.xml" Id="Rd3dfb6c327ad454c" /><Relationship Type="http://schemas.openxmlformats.org/officeDocument/2006/relationships/worksheet" Target="/xl/worksheets/sheet3.xml" Id="R9807ab079fc34620" /><Relationship Type="http://schemas.openxmlformats.org/officeDocument/2006/relationships/worksheet" Target="/xl/worksheets/sheet4.xml" Id="Rcb318ea0d88b4754" /><Relationship Type="http://schemas.openxmlformats.org/officeDocument/2006/relationships/worksheet" Target="/xl/worksheets/sheet5.xml" Id="R2587235d4ddb4259" /></Relationships>
</file>

<file path=xl/tables/table1.xml><?xml version="1.0" encoding="utf-8"?>
<x:table xmlns:x="http://schemas.openxmlformats.org/spreadsheetml/2006/main" id="1" name="CompetitorTagsTable" displayName="CompetitorTagsTable" ref="A1:M31" headerRowCount="1" totalsRowCount="0" totalsRowShown="0">
  <x:autoFilter ref="A1:M31"/>
  <x:tableColumns count="13">
    <x:tableColumn id="1" name="ASIN"/>
    <x:tableColumn id="2" name="有效竞品状态"/>
    <x:tableColumn id="3" name="无效或异常原因"/>
    <x:tableColumn id="4" name="原始人群"/>
    <x:tableColumn id="5" name="统一人群标签"/>
    <x:tableColumn id="6" name="原始场景"/>
    <x:tableColumn id="7" name="统一场景标签"/>
    <x:tableColumn id="8" name="原始用途"/>
    <x:tableColumn id="9" name="统一用途标签"/>
    <x:tableColumn id="10" name="统一频率标签"/>
    <x:tableColumn id="11" name="竞品特点"/>
    <x:tableColumn id="12" name="竞品痛点"/>
    <x:tableColumn id="13" name="来源 / 执行状态"/>
  </x:tableColumns>
  <x:tableStyleInfo name="TableStyleLight9" showFirstColumn="0" showLastColumn="0" showRowStripes="1" showColumnStripes="0"/>
</x:table>
</file>

<file path=xl/tables/table2.xml><?xml version="1.0" encoding="utf-8"?>
<x:table xmlns:x="http://schemas.openxmlformats.org/spreadsheetml/2006/main" id="2" name="CoverageTable" displayName="CoverageTable" ref="A1:I38" headerRowCount="1" totalsRowCount="0" totalsRowShown="0">
  <x:autoFilter ref="A1:I38"/>
  <x:tableColumns count="9">
    <x:tableColumn id="1" name="标签"/>
    <x:tableColumn id="2" name="标签类型"/>
    <x:tableColumn id="3" name="覆盖竞品数"/>
    <x:tableColumn id="4" name="有效竞品总数"/>
    <x:tableColumn id="5" name="Coverage"/>
    <x:tableColumn id="6" name="Coverage 等级"/>
    <x:tableColumn id="7" name="是否全竞品共识"/>
    <x:tableColumn id="8" name="覆盖 ASIN"/>
    <x:tableColumn id="9" name="样本状态"/>
  </x:tableColumns>
  <x:tableStyleInfo name="TableStyleLight9" showFirstColumn="0" showLastColumn="0" showRowStripes="1" showColumnStripes="0"/>
</x:table>
</file>

<file path=xl/tables/table3.xml><?xml version="1.0" encoding="utf-8"?>
<x:table xmlns:x="http://schemas.openxmlformats.org/spreadsheetml/2006/main" id="3" name="ExpressionTable" displayName="ExpressionTable" ref="A1:O172" headerRowCount="1" totalsRowCount="0" totalsRowShown="0">
  <x:autoFilter ref="A1:O172"/>
  <x:tableColumns count="15">
    <x:tableColumn id="1" name="ASIN"/>
    <x:tableColumn id="2" name="标签"/>
    <x:tableColumn id="3" name="标签类型"/>
    <x:tableColumn id="4" name="Title 命中（0/1）"/>
    <x:tableColumn id="5" name="Image 2–4 命中（0/1）"/>
    <x:tableColumn id="6" name="Bullet 1–2 命中（0/1）"/>
    <x:tableColumn id="7" name="A+ 核心命中（0/1）"/>
    <x:tableColumn id="8" name="后部副图命中（0/1）"/>
    <x:tableColumn id="9" name="Bullet 3–5 命中（0/1）"/>
    <x:tableColumn id="10" name="A+ 其他命中（0/1）"/>
    <x:tableColumn id="11" name="Expression Score"/>
    <x:tableColumn id="12" name="单竞品介绍等级"/>
    <x:tableColumn id="13" name="原始证据摘要"/>
    <x:tableColumn id="14" name="Amazon 来源 URL"/>
    <x:tableColumn id="15" name="抓取状态"/>
  </x:tableColumns>
  <x:tableStyleInfo name="TableStyleLight9" showFirstColumn="0" showLastColumn="0" showRowStripes="1" showColumnStripes="0"/>
</x:table>
</file>

<file path=xl/tables/table4.xml><?xml version="1.0" encoding="utf-8"?>
<x:table xmlns:x="http://schemas.openxmlformats.org/spreadsheetml/2006/main" id="4" name="MarketClassTable" displayName="MarketClassTable" ref="A1:M38" headerRowCount="1" totalsRowCount="0" totalsRowShown="0">
  <x:autoFilter ref="A1:M38"/>
  <x:tableColumns count="13">
    <x:tableColumn id="1" name="标签"/>
    <x:tableColumn id="2" name="标签类型"/>
    <x:tableColumn id="3" name="覆盖竞品数"/>
    <x:tableColumn id="4" name="有效竞品总数"/>
    <x:tableColumn id="5" name="Coverage"/>
    <x:tableColumn id="6" name="Coverage 等级"/>
    <x:tableColumn id="7" name="介绍度有效样本数"/>
    <x:tableColumn id="8" name="Market Expression"/>
    <x:tableColumn id="9" name="市场介绍等级"/>
    <x:tableColumn id="10" name="标签市场分类（A / B1 / B2 / C）"/>
    <x:tableColumn id="11" name="分类名称"/>
    <x:tableColumn id="12" name="分类理由"/>
    <x:tableColumn id="13" name="数据状态"/>
  </x:tableColumns>
  <x:tableStyleInfo name="TableStyleLight9" showFirstColumn="0" showLastColumn="0" showRowStripes="1" showColumnStripes="0"/>
</x:table>
</file>

<file path=xl/tables/table5.xml><?xml version="1.0" encoding="utf-8"?>
<x:table xmlns:x="http://schemas.openxmlformats.org/spreadsheetml/2006/main" id="5" name="PriorityTable" displayName="PriorityTable" ref="A1:T38" headerRowCount="1" totalsRowCount="0" totalsRowShown="0">
  <x:autoFilter ref="A1:T38"/>
  <x:tableColumns count="20">
    <x:tableColumn id="1" name="标签"/>
    <x:tableColumn id="2" name="标签类型"/>
    <x:tableColumn id="3" name="市场分类"/>
    <x:tableColumn id="4" name="Coverage"/>
    <x:tableColumn id="5" name="Market Expression"/>
    <x:tableColumn id="6" name="支撑本品参数 / 结构"/>
    <x:tableColumn id="7" name="主要竞品对比事实"/>
    <x:tableColumn id="8" name="Direct Fit"/>
    <x:tableColumn id="9" name="Differentiation"/>
    <x:tableColumn id="10" name="Proofability"/>
    <x:tableColumn id="11" name="Product Advantage"/>
    <x:tableColumn id="12" name="产品关系等级"/>
    <x:tableColumn id="13" name="最终人群"/>
    <x:tableColumn id="14" name="最终场景"/>
    <x:tableColumn id="15" name="最终用途"/>
    <x:tableColumn id="16" name="最终频率"/>
    <x:tableColumn id="17" name="内容优先级"/>
    <x:tableColumn id="18" name="是否进入最终 Listing"/>
    <x:tableColumn id="19" name="最终理由"/>
    <x:tableColumn id="20" name="数据状态"/>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69788496074672" /></Relationships>
</file>

<file path=xl/worksheets/_rels/sheet2.xml.rels>&#65279;<?xml version="1.0" encoding="utf-8"?><Relationships xmlns="http://schemas.openxmlformats.org/package/2006/relationships"><Relationship Type="http://schemas.openxmlformats.org/officeDocument/2006/relationships/table" Target="/xl/tables/table2.xml" Id="Raeb9d849beca4a86" /></Relationships>
</file>

<file path=xl/worksheets/_rels/sheet3.xml.rels>&#65279;<?xml version="1.0" encoding="utf-8"?><Relationships xmlns="http://schemas.openxmlformats.org/package/2006/relationships"><Relationship Type="http://schemas.openxmlformats.org/officeDocument/2006/relationships/table" Target="/xl/tables/table3.xml" Id="R1ef63558fe064703" /></Relationships>
</file>

<file path=xl/worksheets/_rels/sheet4.xml.rels>&#65279;<?xml version="1.0" encoding="utf-8"?><Relationships xmlns="http://schemas.openxmlformats.org/package/2006/relationships"><Relationship Type="http://schemas.openxmlformats.org/officeDocument/2006/relationships/table" Target="/xl/tables/table4.xml" Id="Rf946ab97e8a14080" /></Relationships>
</file>

<file path=xl/worksheets/_rels/sheet5.xml.rels>&#65279;<?xml version="1.0" encoding="utf-8"?><Relationships xmlns="http://schemas.openxmlformats.org/package/2006/relationships"><Relationship Type="http://schemas.openxmlformats.org/officeDocument/2006/relationships/table" Target="/xl/tables/table5.xml" Id="R591d4fcfb38c46fa"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8" hidden="0" customWidth="1"/>
    <x:col min="4" max="4" width="34" hidden="0" customWidth="1"/>
    <x:col min="5" max="5" width="28" hidden="0" customWidth="1"/>
    <x:col min="6" max="6" width="34" hidden="0" customWidth="1"/>
    <x:col min="7" max="7" width="28" hidden="0" customWidth="1"/>
    <x:col min="8" max="8" width="34" hidden="0" customWidth="1"/>
    <x:col min="9" max="9" width="28" hidden="0" customWidth="1"/>
    <x:col min="10" max="10" width="22" hidden="0" customWidth="1"/>
    <x:col min="11" max="11" width="40" hidden="0" customWidth="1"/>
    <x:col min="12" max="12" width="36" hidden="0" customWidth="1"/>
    <x:col min="13" max="13" width="42" hidden="0" customWidth="1"/>
  </x:cols>
  <x:sheetData>
    <x:row r="1" ht="40" customHeight="1">
      <x:c r="A1" s="8" t="str">
        <x:v>ASIN</x:v>
      </x:c>
      <x:c r="B1" s="7" t="str">
        <x:v>有效竞品状态</x:v>
      </x:c>
      <x:c r="C1" s="7" t="str">
        <x:v>无效或异常原因</x:v>
      </x:c>
      <x:c r="D1" s="7" t="str">
        <x:v>原始人群</x:v>
      </x:c>
      <x:c r="E1" s="7" t="str">
        <x:v>统一人群标签</x:v>
      </x:c>
      <x:c r="F1" s="7" t="str">
        <x:v>原始场景</x:v>
      </x:c>
      <x:c r="G1" s="7" t="str">
        <x:v>统一场景标签</x:v>
      </x:c>
      <x:c r="H1" s="7" t="str">
        <x:v>原始用途</x:v>
      </x:c>
      <x:c r="I1" s="7" t="str">
        <x:v>统一用途标签</x:v>
      </x:c>
      <x:c r="J1" s="7" t="str">
        <x:v>统一频率标签</x:v>
      </x:c>
      <x:c r="K1" s="7" t="str">
        <x:v>竞品特点</x:v>
      </x:c>
      <x:c r="L1" s="7" t="str">
        <x:v>竞品痛点</x:v>
      </x:c>
      <x:c r="M1" s="7" t="str">
        <x:v>来源 / 执行状态</x:v>
      </x:c>
    </x:row>
    <x:row r="2" ht="56" customHeight="1">
      <x:c r="A2" s="196" t="str">
        <x:v>B0BYYLPJQG</x:v>
      </x:c>
      <x:c r="B2" s="27" t="str">
        <x:v>有效</x:v>
      </x:c>
      <x:c r="C2" s="28" t="str"/>
      <x:c r="D2" s="28" t="str">
        <x:v>玩家/主播；办公室人员〔A〕；舒适需求者〔A〕；大体型用户；重视移动安静者〔A〕；长时间工作者〔B〕；放松需求者〔B〕</x:v>
      </x:c>
      <x:c r="E2" s="28" t="str">
        <x:v>Gamers；Content Creators / Streamers；Office Workers；Big &amp; Tall Users；Comfort Seekers；Relaxation Seekers；Quiet-Mobility Seekers</x:v>
      </x:c>
      <x:c r="F2" s="28" t="str">
        <x:v>游戏/直播〔A〕；远程办公；影音放松；深夜长时间使用；游戏〔B〕；内容创作/直播〔B〕</x:v>
      </x:c>
      <x:c r="G2" s="28" t="str">
        <x:v>Gaming Room / Setup；Office / Workspace；Streaming / Content Creation Setup；Entertainment / Leisure Space；Late-Night Use</x:v>
      </x:c>
      <x:c r="H2" s="28" t="str">
        <x:v>游戏/直播〔A〕；办公；放松〔A〕；长时间坐用〔A〕；游戏〔B〕；直播〔B〕；放松/小睡〔B〕；一般电脑使用〔B〕</x:v>
      </x:c>
      <x:c r="I2" s="28" t="str">
        <x:v>Gaming；Work；Streaming / Content Creation；Relaxing；Napping；Computer Use</x:v>
      </x:c>
      <x:c r="J2" s="28" t="str">
        <x:v>Long Hours</x:v>
      </x:c>
      <x:c r="K2" s="28" t="str">
        <x:v>USB震动按摩腰靠；袋装弹簧+记忆棉；33倍散热PU；加宽10厘米；90°–135°后仰+脚托；3D扶手；FSC木框；静音脚轮〔B〕</x:v>
      </x:c>
      <x:c r="L2" s="28" t="str">
        <x:v>需自行组装〔A〕；仅限室内〔A〕；150千克承重〔A〕；不可折叠〔A〕</x:v>
      </x:c>
      <x:c r="M2" s="28" t="str">
        <x:v>Alexa A∪B；✅ 双次并集；✅ 双次并集；✅ 双次并集；✅ 双次并集；⚠️ 单边有内容</x:v>
      </x:c>
    </x:row>
    <x:row r="3" ht="56" customHeight="1">
      <x:c r="A3" s="197" t="str">
        <x:v>B0C58DNX85</x:v>
      </x:c>
      <x:c r="B3" s="25" t="str">
        <x:v>有效</x:v>
      </x:c>
      <x:c r="C3" s="26" t="str"/>
      <x:c r="D3" s="26" t="str">
        <x:v>玩家/内容创作者〔A〕；青少年/年轻成人；办公室/远程办公人员〔A〕；注重舒适与个性者〔A〕；290磅以内用户；玩家/主播〔B〕；远程办公人员/学生〔B〕；注重个性者〔B〕</x:v>
      </x:c>
      <x:c r="E3" s="26" t="str">
        <x:v>Gamers；Content Creators / Streamers；Office Workers；Remote Workers；Students；Teens / Young Adults；Style-Conscious Users</x:v>
      </x:c>
      <x:c r="F3" s="26" t="str">
        <x:v>游戏；办公/桌面工作；阅读/观看/放松〔A〕；卧室、客厅、游戏室、学习区〔A〕；阅读/放松〔B〕；卧室、客厅、学习室、娱乐区〔B〕</x:v>
      </x:c>
      <x:c r="G3" s="26" t="str">
        <x:v>Gaming Room / Setup；Office / Workspace；Study Area；Bedroom；Living Room；Entertainment / Leisure Space</x:v>
      </x:c>
      <x:c r="H3" s="26" t="str">
        <x:v>游戏；办公/桌面工作〔A〕；阅读与放松〔A〕；桌面工作/学习〔B〕；放松倚坐〔B〕</x:v>
      </x:c>
      <x:c r="I3" s="26" t="str">
        <x:v>Gaming；Work；Study；Reading；Relaxing</x:v>
      </x:c>
      <x:c r="J3" s="26" t="str"/>
      <x:c r="K3" s="26" t="str">
        <x:v>可拆猫耳与主题配件；按摩腰垫；联动扶手；51档90°–140°后仰；皮革+柔软织物；可调头枕+脚托</x:v>
      </x:c>
      <x:c r="L3" s="26" t="str">
        <x:v>另列290磅上限、需组装、猫耳审美可能不适配等规格/偏好限制〔B〕</x:v>
      </x:c>
      <x:c r="M3" s="26" t="str">
        <x:v>Alexa A∪B；✅ 双次并集；✅ 双次并集；✅ 双次并集；✅ 双次并集；⚠️ 单边有内容</x:v>
      </x:c>
    </x:row>
    <x:row r="4" ht="56" customHeight="1">
      <x:c r="A4" s="197" t="str">
        <x:v>B0D4YV8KZR</x:v>
      </x:c>
      <x:c r="B4" s="25" t="str">
        <x:v>有效</x:v>
      </x:c>
      <x:c r="C4" s="26" t="str"/>
      <x:c r="D4" s="26" t="str">
        <x:v>玩家/内容创作者〔A〕；办公室人员/学生〔A〕；小体型成人和青少年；220磅以下可获更佳支撑；玩家/主播〔B〕；远程办公人员/学生〔B〕；预算敏感买家〔B〕</x:v>
      </x:c>
      <x:c r="E4" s="26" t="str">
        <x:v>Gamers；Content Creators / Streamers；Office Workers；Remote Workers；Students；Small-Framed Users；Teens / Young Adults；Budget-Conscious Buyers</x:v>
      </x:c>
      <x:c r="F4" s="26" t="str">
        <x:v>游戏；电脑工作；阅读/放松；学习；小睡〔B〕</x:v>
      </x:c>
      <x:c r="G4" s="26" t="str">
        <x:v>Gaming Room / Setup；Office / Workspace；Study Area；Entertainment / Leisure Space</x:v>
      </x:c>
      <x:c r="H4" s="26" t="str">
        <x:v>游戏；电脑/桌面工作〔A〕；阅读与放松〔A〕；工作与学习〔B〕；阅读、休息与放松〔B〕</x:v>
      </x:c>
      <x:c r="I4" s="26" t="str">
        <x:v>Gaming；Work；Study；Reading；Relaxing；Computer Use</x:v>
      </x:c>
      <x:c r="J4" s="26" t="str"/>
      <x:c r="K4" s="26" t="str">
        <x:v>袋装弹簧坐垫；透气网布；按摩腰垫；可调头枕；90°–135°后仰；钢板加固靠背；FSC认证木框；面向小体型用户</x:v>
      </x:c>
      <x:c r="L4" s="26" t="str">
        <x:v>220磅及以上时支撑效果下降〔A〕；主要适配小体型用户；面料仅可干洗；220磅及以上时支撑和耐用表现下降〔B〕</x:v>
      </x:c>
      <x:c r="M4" s="26" t="str">
        <x:v>Alexa A∪B；✅ 双次并集；✅ 双次并集；✅ 双次并集；✅ 双次并集；✅ 双次并集</x:v>
      </x:c>
    </x:row>
    <x:row r="5" ht="56" customHeight="1">
      <x:c r="A5" s="197" t="str">
        <x:v>B0DDCK8JPB</x:v>
      </x:c>
      <x:c r="B5" s="25" t="str">
        <x:v>有效</x:v>
      </x:c>
      <x:c r="C5" s="26" t="str"/>
      <x:c r="D5" s="26" t="str">
        <x:v>玩家/主播〔A〕；远程办公人员；内容创作者；学生/读者〔A〕；全天舒适需求者；300磅以内用户；玩家〔B〕；学生〔B〕</x:v>
      </x:c>
      <x:c r="E5" s="26" t="str">
        <x:v>Gamers；Content Creators / Streamers；Office Workers；Remote Workers；Students；Readers；Comfort Seekers</x:v>
      </x:c>
      <x:c r="F5" s="26" t="str">
        <x:v>游戏；办公；阅读/放松；学习；娱乐空间〔A〕；游戏室/家庭办公室/学习室/卧室〔B〕</x:v>
      </x:c>
      <x:c r="G5" s="26" t="str">
        <x:v>Gaming Room / Setup；Home Office；Office / Workspace；Study Area；Bedroom；Entertainment / Leisure Space</x:v>
      </x:c>
      <x:c r="H5" s="26" t="str">
        <x:v>游戏；办公/电脑工作；阅读与放松；一般电脑使用〔A〕</x:v>
      </x:c>
      <x:c r="I5" s="26" t="str">
        <x:v>Gaming；Work；Reading；Relaxing；Computer Use</x:v>
      </x:c>
      <x:c r="J5" s="26" t="str">
        <x:v>All-Day Use</x:v>
      </x:c>
      <x:c r="K5" s="26" t="str">
        <x:v>袋装弹簧；绗缝透气网布；90°–135°后仰；可调头枕与按摩腰靠〔A〕；无侧翼平整坐面〔A〕；FSC木框+金属加固〔A〕；300磅承重；可调头枕与腰靠〔B〕；脚托〔B〕；FSC木框+金属框架〔B〕；1年维修〔B〕</x:v>
      </x:c>
      <x:c r="L5" s="26" t="str">
        <x:v>未抓取到</x:v>
      </x:c>
      <x:c r="M5" s="26" t="str">
        <x:v>Alexa A∪B；✅ 双次并集；✅ 双次并集；✅ 双次并集；✅ 双次并集；○ 未抓取到</x:v>
      </x:c>
    </x:row>
    <x:row r="6" ht="56" customHeight="1">
      <x:c r="A6" s="197" t="str">
        <x:v>B0DSBHRM8Y</x:v>
      </x:c>
      <x:c r="B6" s="25" t="str">
        <x:v>有效</x:v>
      </x:c>
      <x:c r="C6" s="26" t="str"/>
      <x:c r="D6" s="26" t="str">
        <x:v>较大体型用户；玩家/长时间工作者〔A〕；压力缓解需求者；重视多项调节者；玩家/伏案人员〔B〕；重视透气舒适者〔B〕</x:v>
      </x:c>
      <x:c r="E6" s="26" t="str">
        <x:v>Gamers；Office Workers；Big &amp; Tall Users</x:v>
      </x:c>
      <x:c r="F6" s="26" t="str">
        <x:v>游戏〔A〕；办公〔A〕；放松；电脑使用〔A〕；游戏/娱乐〔B〕；办公/远程工作〔B〕；专业创意环境〔B〕</x:v>
      </x:c>
      <x:c r="G6" s="26" t="str">
        <x:v>Gaming Room / Setup；Home Office；Office / Workspace；Streaming / Content Creation Setup；Entertainment / Leisure Space</x:v>
      </x:c>
      <x:c r="H6" s="26" t="str">
        <x:v>游戏；办公/电脑使用〔A〕；放松；办公〔B〕；视频通话〔B〕</x:v>
      </x:c>
      <x:c r="I6" s="26" t="str">
        <x:v>Gaming；Work；Relaxing；Computer Use</x:v>
      </x:c>
      <x:c r="J6" s="26" t="str">
        <x:v>Long Hours</x:v>
      </x:c>
      <x:c r="K6" s="26" t="str">
        <x:v>400磅承重；加宽靠背（21.3英寸）〔A〕；可调头枕+按摩腰枕；90°–145°后仰；脚托；高密度泡棉；宽大人体工学靠背〔B〕；透气针织面料〔B〕</x:v>
      </x:c>
      <x:c r="L6" s="26" t="str">
        <x:v>需组装；仅限室内硬地面〔A〕；400磅承重上限；不可折叠〔B〕；仅限室内〔B〕</x:v>
      </x:c>
      <x:c r="M6" s="26" t="str">
        <x:v>Alexa A∪B；✅ 双次并集；✅ 双次并集；✅ 双次并集；✅ 双次并集；✅ 双次并集</x:v>
      </x:c>
    </x:row>
    <x:row r="7" ht="56" customHeight="1">
      <x:c r="A7" s="197" t="str">
        <x:v>B0FK5PQH4J</x:v>
      </x:c>
      <x:c r="B7" s="25" t="str">
        <x:v>有效</x:v>
      </x:c>
      <x:c r="C7" s="26" t="str"/>
      <x:c r="D7" s="26" t="str">
        <x:v>玩家和长时间伏案者〔A〕；大体型用户；腰背紧张者；追求全天舒适者；玩家和办公室人员〔B〕；重视健康功能者〔B〕</x:v>
      </x:c>
      <x:c r="E7" s="26" t="str">
        <x:v>Gamers；Office Workers；Big &amp; Tall Users；Back Support Seekers；Comfort Seekers；Health-Feature Seekers</x:v>
      </x:c>
      <x:c r="F7" s="26" t="str">
        <x:v>游戏；办公〔A〕；阅读/放松；休闲倚坐；办公/电脑工作〔B〕</x:v>
      </x:c>
      <x:c r="G7" s="26" t="str">
        <x:v>Gaming Room / Setup；Office / Workspace；Entertainment / Leisure Space</x:v>
      </x:c>
      <x:c r="H7" s="26" t="str">
        <x:v>游戏〔A〕；办公〔A〕；阅读/放松〔A〕；休闲倚坐〔A〕；缓解腰部紧张〔A〕；游戏/电脑工作〔B〕；放松/倚坐〔B〕；缓解腰背紧张〔B〕</x:v>
      </x:c>
      <x:c r="I7" s="26" t="str">
        <x:v>Gaming；Work；Reading；Relaxing；Computer Use；Back Tension Relief</x:v>
      </x:c>
      <x:c r="J7" s="26" t="str">
        <x:v>Long Hours；All-Day Use</x:v>
      </x:c>
      <x:c r="K7" s="26" t="str">
        <x:v>可调温加热按摩；可翻转双面腰垫；散热座面；大体型350磅承重/开放式底座；袋装弹簧；155°后仰与头部支撑；认证结构〔A〕；伸缩脚托〔B〕</x:v>
      </x:c>
      <x:c r="L7" s="26" t="str">
        <x:v>未抓取到</x:v>
      </x:c>
      <x:c r="M7" s="26" t="str">
        <x:v>Alexa A∪B；✅ 双次并集；✅ 双次并集；✅ 双次并集；✅ 双次并集；○ 未抓取到</x:v>
      </x:c>
    </x:row>
    <x:row r="8" ht="56" customHeight="1">
      <x:c r="A8" s="197" t="str">
        <x:v>B0FKM4RNW2</x:v>
      </x:c>
      <x:c r="B8" s="25" t="str">
        <x:v>有效</x:v>
      </x:c>
      <x:c r="C8" s="26" t="str"/>
      <x:c r="D8" s="26" t="str">
        <x:v>玩家〔A〕；办公室人员；大体型用户；全天舒适需求者；玩家/内容创作者〔B〕</x:v>
      </x:c>
      <x:c r="E8" s="26" t="str">
        <x:v>Gamers；Content Creators / Streamers；Office Workers；Big &amp; Tall Users；Comfort Seekers</x:v>
      </x:c>
      <x:c r="F8" s="26" t="str">
        <x:v>游戏马拉松〔A〕；居家办公〔A〕；阅读/放松；游戏室/娱乐室/学习空间〔A〕；游戏〔B〕；办公〔B〕；直播/内容创作〔B〕；游戏室/家庭办公室/娱乐室〔B〕</x:v>
      </x:c>
      <x:c r="G8" s="26" t="str">
        <x:v>Gaming Room / Setup；Home Office；Office / Workspace；Streaming / Content Creation Setup；Study Area；Entertainment / Leisure Space</x:v>
      </x:c>
      <x:c r="H8" s="26" t="str">
        <x:v>游戏；办公；阅读与放松〔A〕；阅读〔B〕；放松〔B〕</x:v>
      </x:c>
      <x:c r="I8" s="26" t="str">
        <x:v>Gaming；Work；Reading；Relaxing</x:v>
      </x:c>
      <x:c r="J8" s="26" t="str">
        <x:v>All-Day Use；Extended Sessions</x:v>
      </x:c>
      <x:c r="K8" s="26" t="str">
        <x:v>高密度泡棉+袋装弹簧；温度调节防污防水麂皮绒；可调震动按摩腰垫〔A〕；21.5英寸坐面/32.7英寸靠背/440磅；FSC框架+重载结构〔A〕；可调扶手/脚托；静音脚轮；3英寸可调震动按摩腰垫〔B〕；FSC木框+合金钢〔B〕</x:v>
      </x:c>
      <x:c r="L8" s="26" t="str">
        <x:v>未抓取到</x:v>
      </x:c>
      <x:c r="M8" s="26" t="str">
        <x:v>Alexa A∪B；✅ 双次并集；✅ 双次并集；✅ 双次并集；✅ 双次并集；○ 未抓取到</x:v>
      </x:c>
    </x:row>
    <x:row r="9" ht="56" customHeight="1">
      <x:c r="A9" s="197" t="str">
        <x:v>B0FRMQ5X9R</x:v>
      </x:c>
      <x:c r="B9" s="25" t="str">
        <x:v>有效</x:v>
      </x:c>
      <x:c r="C9" s="26" t="str"/>
      <x:c r="D9" s="26" t="str">
        <x:v>玩家/电竞选手；主播/内容创作者；办公室人员；学生；有背部不适顾虑者</x:v>
      </x:c>
      <x:c r="E9" s="26" t="str">
        <x:v>Gamers；Content Creators / Streamers；Office Workers；Students；Back Support Seekers</x:v>
      </x:c>
      <x:c r="F9" s="26" t="str">
        <x:v>游戏/直播；办公/远程工作〔A〕；学习；放松；办公工作〔B〕；家庭娱乐〔B〕</x:v>
      </x:c>
      <x:c r="G9" s="26" t="str">
        <x:v>Gaming Room / Setup；Home Office；Office / Workspace；Streaming / Content Creation Setup；Study Area；Entertainment / Leisure Space</x:v>
      </x:c>
      <x:c r="H9" s="26" t="str">
        <x:v>游戏；办公/电脑工作；直播/内容创作；阅读与放松</x:v>
      </x:c>
      <x:c r="I9" s="26" t="str">
        <x:v>Gaming；Work；Streaming / Content Creation；Reading；Relaxing；Computer Use</x:v>
      </x:c>
      <x:c r="J9" s="26" t="str"/>
      <x:c r="K9" s="26" t="str">
        <x:v>随靠背联动的可调扶手；按摩腰枕；弹簧坐垫；皮革+透气网布〔A〕；150°后仰；SGS认证气压杆；可调头枕〔A〕；仿皮+透气网布〔B〕</x:v>
      </x:c>
      <x:c r="L9" s="26" t="str">
        <x:v>未抓取到</x:v>
      </x:c>
      <x:c r="M9" s="26" t="str">
        <x:v>Alexa A∪B；✅ 双次并集；✅ 双次并集；✅ 双次并集；✅ 双次并集；○ 未抓取到</x:v>
      </x:c>
    </x:row>
    <x:row r="10" ht="56" customHeight="1">
      <x:c r="A10" s="197" t="str">
        <x:v>B0H3ZBMLT1</x:v>
      </x:c>
      <x:c r="B10" s="25" t="str">
        <x:v>有效</x:v>
      </x:c>
      <x:c r="C10" s="26" t="str"/>
      <x:c r="D10" s="26" t="str">
        <x:v>大体型用户；玩家和居家办公人员〔A〕；舒适放松需求者；背部支撑需求者〔A〕；玩家〔B〕；居家办公人员〔B〕</x:v>
      </x:c>
      <x:c r="E10" s="26" t="str">
        <x:v>Gamers；Office Workers；Remote Workers；Big &amp; Tall Users；Back Support Seekers；Relaxation Seekers</x:v>
      </x:c>
      <x:c r="F10" s="26" t="str">
        <x:v>游戏/娱乐〔A〕；居家办公/电脑工作〔A〕；放松/小睡；家庭办公室、游戏室、卧室〔A〕；游戏〔B〕；居家办公〔B〕；内容创作〔B〕；办公室、游戏室、卧室〔B〕</x:v>
      </x:c>
      <x:c r="G10" s="26" t="str">
        <x:v>Gaming Room / Setup；Home Office；Office / Workspace；Streaming / Content Creation Setup；Bedroom；Entertainment / Leisure Space</x:v>
      </x:c>
      <x:c r="H10" s="26" t="str">
        <x:v>游戏；电脑/居家办公〔A〕；放松与小睡；办公/居家工作〔B〕</x:v>
      </x:c>
      <x:c r="I10" s="26" t="str">
        <x:v>Gaming；Work；Relaxing；Napping；Computer Use</x:v>
      </x:c>
      <x:c r="J10" s="26" t="str"/>
      <x:c r="K10" s="26" t="str">
        <x:v>按摩腰靠；袋装弹簧；21.26英寸无侧翼宽坐面/350磅；脚托；储物袋；重载金属框架；90°–145°</x:v>
      </x:c>
      <x:c r="L10" s="26" t="str">
        <x:v>另列350磅上限、PU皮需擦拭、需组装等规格限制〔B〕</x:v>
      </x:c>
      <x:c r="M10" s="26" t="str">
        <x:v>Alexa A∪B；✅ 双次并集；✅ 双次并集；✅ 双次并集；✅ 双次并集；⚠️ 单边有内容</x:v>
      </x:c>
    </x:row>
    <x:row r="11" ht="56" customHeight="1">
      <x:c r="A11" s="197" t="str">
        <x:v>B0H7HKB2LN</x:v>
      </x:c>
      <x:c r="B11" s="25" t="str">
        <x:v>有效</x:v>
      </x:c>
      <x:c r="C11" s="26" t="str"/>
      <x:c r="D11" s="26" t="str">
        <x:v>大体型用户；远程/办公室人员〔A〕；玩家〔A〕；长时间舒适需求者；家庭办公用户〔A〕；远程人员/玩家〔B〕；家庭办公室/卧室使用者〔B〕</x:v>
      </x:c>
      <x:c r="E11" s="26" t="str">
        <x:v>Gamers；Office Workers；Remote Workers；Big &amp; Tall Users；Comfort Seekers</x:v>
      </x:c>
      <x:c r="F11" s="26" t="str">
        <x:v>居家办公〔A〕；游戏/娱乐〔A〕；阅读/放松；电脑工作〔A〕；家庭办公室〔B〕；游戏〔B〕；卧室休闲〔B〕</x:v>
      </x:c>
      <x:c r="G11" s="26" t="str">
        <x:v>Gaming Room / Setup；Home Office；Office / Workspace；Bedroom；Entertainment / Leisure Space</x:v>
      </x:c>
      <x:c r="H11" s="26" t="str">
        <x:v>居家办公〔A〕；游戏；阅读与放松；一般电脑使用〔A〕；办公〔B〕</x:v>
      </x:c>
      <x:c r="I11" s="26" t="str">
        <x:v>Gaming；Work；Reading；Relaxing；Computer Use</x:v>
      </x:c>
      <x:c r="J11" s="26" t="str">
        <x:v>Long Hours</x:v>
      </x:c>
      <x:c r="K11" s="26" t="str">
        <x:v>500磅承重/加宽框架〔A〕；双层高密度泡棉；联动软扶手；蜂窝纹高级皮革；90°–135°后仰+脚托；FSC木框；500磅承重〔B〕</x:v>
      </x:c>
      <x:c r="L11" s="26" t="str">
        <x:v>未抓取到</x:v>
      </x:c>
      <x:c r="M11" s="26" t="str">
        <x:v>Alexa A∪B；✅ 双次并集；✅ 双次并集；✅ 双次并集；✅ 双次并集；○ 未抓取到</x:v>
      </x:c>
    </x:row>
    <x:row r="12" ht="56" customHeight="1">
      <x:c r="A12" s="198" t="str">
        <x:v>B0C6DL7VC8</x:v>
      </x:c>
      <x:c r="B12" s="31" t="str">
        <x:v>部分执行</x:v>
      </x:c>
      <x:c r="C12" s="32" t="str">
        <x:v>人群/场景/用途未全部执行，不进入有效竞品分母</x:v>
      </x:c>
      <x:c r="D12" s="32" t="str">
        <x:v>未执行</x:v>
      </x:c>
      <x:c r="E12" s="32" t="str"/>
      <x:c r="F12" s="32" t="str">
        <x:v>游戏〔A〕；桌面/远程工作〔A〕；内容创作〔A〕；放松/娱乐〔A〕</x:v>
      </x:c>
      <x:c r="G12" s="32" t="str">
        <x:v>Gaming Room / Setup；Home Office；Streaming / Content Creation Setup；Entertainment / Leisure Space</x:v>
      </x:c>
      <x:c r="H12" s="32" t="str">
        <x:v>游戏；长时间电脑/办公〔A〕；直播；其他长时间坐姿活动〔A〕；长时间工作/桌面工作〔B〕</x:v>
      </x:c>
      <x:c r="I12" s="32" t="str">
        <x:v>Gaming；Work；Streaming / Content Creation；Computer Use</x:v>
      </x:c>
      <x:c r="J12" s="32" t="str">
        <x:v>Long Hours</x:v>
      </x:c>
      <x:c r="K12" s="32" t="str">
        <x:v>未执行</x:v>
      </x:c>
      <x:c r="L12" s="32" t="str">
        <x:v>未执行</x:v>
      </x:c>
      <x:c r="M12" s="32" t="str">
        <x:v>Alexa A∪B；✅ 双次并集；⚠️ 仅单次执行；⏸ 未执行；⏸ 未执行；⏸ 未执行</x:v>
      </x:c>
    </x:row>
    <x:row r="13" ht="56" customHeight="1">
      <x:c r="A13" s="199" t="str">
        <x:v>B0CRD8344V</x:v>
      </x:c>
      <x:c r="B13" s="29" t="str">
        <x:v>部分执行</x:v>
      </x:c>
      <x:c r="C13" s="30" t="str">
        <x:v>人群/场景/用途未全部执行，不进入有效竞品分母</x:v>
      </x:c>
      <x:c r="D13" s="30" t="str">
        <x:v>未执行</x:v>
      </x:c>
      <x:c r="E13" s="30" t="str"/>
      <x:c r="F13" s="30" t="str">
        <x:v>未执行</x:v>
      </x:c>
      <x:c r="G13" s="30" t="str"/>
      <x:c r="H13" s="30" t="str">
        <x:v>游戏/长时间电脑工作〔A〕；居家办公〔A〕；放松〔A〕</x:v>
      </x:c>
      <x:c r="I13" s="30" t="str">
        <x:v>Gaming；Work；Relaxing；Computer Use</x:v>
      </x:c>
      <x:c r="J13" s="30" t="str">
        <x:v>Long Hours</x:v>
      </x:c>
      <x:c r="K13" s="30" t="str">
        <x:v>未执行</x:v>
      </x:c>
      <x:c r="L13" s="30" t="str">
        <x:v>未执行</x:v>
      </x:c>
      <x:c r="M13" s="30" t="str">
        <x:v>Alexa A∪B；⚠️ 仅单次执行；⏸ 未执行；⏸ 未执行；⏸ 未执行；⏸ 未执行</x:v>
      </x:c>
    </x:row>
    <x:row r="14" ht="56" customHeight="1">
      <x:c r="A14" s="200" t="str">
        <x:v>B0H7HSR5FW</x:v>
      </x:c>
      <x:c r="B14" s="35" t="str">
        <x:v>身份异常</x:v>
      </x:c>
      <x:c r="C14" s="36" t="str">
        <x:v>Alexa 身份异常，回答未对应目标 ASIN</x:v>
      </x:c>
      <x:c r="D14" s="36" t="str">
        <x:v>身份异常，未纳入</x:v>
      </x:c>
      <x:c r="E14" s="36" t="str"/>
      <x:c r="F14" s="36" t="str">
        <x:v>身份异常，未纳入</x:v>
      </x:c>
      <x:c r="G14" s="36" t="str"/>
      <x:c r="H14" s="36" t="str">
        <x:v>身份异常，未纳入</x:v>
      </x:c>
      <x:c r="I14" s="36" t="str"/>
      <x:c r="J14" s="36" t="str"/>
      <x:c r="K14" s="36" t="str">
        <x:v>身份异常，未纳入</x:v>
      </x:c>
      <x:c r="L14" s="36" t="str">
        <x:v>身份异常，未纳入</x:v>
      </x:c>
      <x:c r="M14" s="36" t="str">
        <x:v>Alexa A∪B；❗ 身份异常；❗ 身份异常；❗ 身份异常；❗ 身份异常；❗ 身份异常</x:v>
      </x:c>
    </x:row>
    <x:row r="15" ht="56" customHeight="1">
      <x:c r="A15" s="201" t="str">
        <x:v>B09WTM88B6</x:v>
      </x:c>
      <x:c r="B15" s="39" t="str">
        <x:v>无效</x:v>
      </x:c>
      <x:c r="C15" s="40" t="str">
        <x:v>同父体重复子体；父体 B0F8ZLNMTG；代表 ASIN B0D4YV8KZR</x:v>
      </x:c>
      <x:c r="D15" s="40" t="str">
        <x:v>玩家/内容创作者〔A〕；远程办公人员/学生〔A〕；小体型用户；220磅以下支撑更佳者；追求长时间舒适者〔A〕；玩家/伏案工作者〔B〕；追求人体工学舒适者〔B〕</x:v>
      </x:c>
      <x:c r="E15" s="40" t="str">
        <x:v>Gamers；Content Creators / Streamers；Office Workers；Remote Workers；Students；Small-Framed Users；Back Support Seekers；Comfort Seekers</x:v>
      </x:c>
      <x:c r="F15" s="40" t="str">
        <x:v>游戏；办公工作；阅读/放松〔A〕；学习〔A〕；放松/小睡〔B〕；阅读〔B〕</x:v>
      </x:c>
      <x:c r="G15" s="40" t="str">
        <x:v>Gaming Room / Setup；Office / Workspace；Study Area；Entertainment / Leisure Space</x:v>
      </x:c>
      <x:c r="H15" s="40" t="str">
        <x:v>游戏；办公/电脑工作〔A〕；阅读与放松；小睡；办公工作〔B〕</x:v>
      </x:c>
      <x:c r="I15" s="40" t="str">
        <x:v>Gaming；Work；Reading；Relaxing；Napping；Computer Use</x:v>
      </x:c>
      <x:c r="J15" s="40" t="str">
        <x:v>Long Hours</x:v>
      </x:c>
      <x:c r="K15" s="40" t="str">
        <x:v>袋装弹簧坐垫；按摩腰垫；90°–135°后仰；脚托；FSC认证木框与钢板加固；透气面料〔A〕；可调软垫扶手〔B〕</x:v>
      </x:c>
      <x:c r="L15" s="40" t="str">
        <x:v>高体重时支撑下降（A称超过220磅）〔A〕；高体重时支撑下降（B称达到290磅或以上）〔B〕；主要面向小体型用户〔B〕</x:v>
      </x:c>
      <x:c r="M15" s="40" t="str">
        <x:v>Alexa A∪B；✅ 双次并集；✅ 双次并集；✅ 双次并集；✅ 双次并集；✅ 双次并集</x:v>
      </x:c>
    </x:row>
    <x:row r="16" ht="56" customHeight="1">
      <x:c r="A16" s="202" t="str">
        <x:v>B0BYYLSL8W</x:v>
      </x:c>
      <x:c r="B16" s="37" t="str">
        <x:v>无效</x:v>
      </x:c>
      <x:c r="C16" s="38" t="str">
        <x:v>同父体重复子体；父体 B0C5QB4WJM；代表 ASIN B0BYYLPJQG</x:v>
      </x:c>
      <x:c r="D16" s="38" t="str">
        <x:v>玩家/主播；大体型成人；远程办公人员；舒适需求者；空间有限者〔A〕；重视灵活性者〔B〕</x:v>
      </x:c>
      <x:c r="E16" s="38" t="str">
        <x:v>Gamers；Content Creators / Streamers；Office Workers；Remote Workers；Big &amp; Tall Users；Comfort Seekers；Space-Constrained Users</x:v>
      </x:c>
      <x:c r="F16" s="38" t="str">
        <x:v>游戏；远程办公；直播〔A〕；影音/阅读休闲；休息〔A〕；深夜长时间使用；直播/内容创作〔B〕</x:v>
      </x:c>
      <x:c r="G16" s="38" t="str">
        <x:v>Gaming Room / Setup；Office / Workspace；Streaming / Content Creation Setup；Entertainment / Leisure Space；Late-Night Use</x:v>
      </x:c>
      <x:c r="H16" s="38" t="str">
        <x:v>游戏；办公；休闲放松〔A〕；长时间坐用；休闲放松/小睡〔B〕</x:v>
      </x:c>
      <x:c r="I16" s="38" t="str">
        <x:v>Gaming；Work；Relaxing；Napping</x:v>
      </x:c>
      <x:c r="J16" s="38" t="str">
        <x:v>Long Hours</x:v>
      </x:c>
      <x:c r="K16" s="38" t="str">
        <x:v>USB按摩腰靠；33倍散热PU；袋装弹簧；加宽至少10厘米；90°–135°后仰+头枕/3D扶手/脚托；记忆棉；FSC框架/350磅</x:v>
      </x:c>
      <x:c r="L16" s="38" t="str">
        <x:v>未抓取到</x:v>
      </x:c>
      <x:c r="M16" s="38" t="str">
        <x:v>Alexa A∪B；✅ 双次并集；✅ 双次并集；✅ 双次并集；✅ 双次并集；○ 未抓取到</x:v>
      </x:c>
    </x:row>
    <x:row r="17" ht="56" customHeight="1">
      <x:c r="A17" s="202" t="str">
        <x:v>B0C58FGQMJ</x:v>
      </x:c>
      <x:c r="B17" s="37" t="str">
        <x:v>无效</x:v>
      </x:c>
      <x:c r="C17" s="38" t="str">
        <x:v>技术停止后未执行，无可用标签</x:v>
      </x:c>
      <x:c r="D17" s="38" t="str">
        <x:v>未执行</x:v>
      </x:c>
      <x:c r="E17" s="38" t="str"/>
      <x:c r="F17" s="38" t="str">
        <x:v>未执行</x:v>
      </x:c>
      <x:c r="G17" s="38" t="str"/>
      <x:c r="H17" s="38" t="str">
        <x:v>未执行</x:v>
      </x:c>
      <x:c r="I17" s="38" t="str"/>
      <x:c r="J17" s="38" t="str"/>
      <x:c r="K17" s="38" t="str">
        <x:v>未执行</x:v>
      </x:c>
      <x:c r="L17" s="38" t="str">
        <x:v>未执行</x:v>
      </x:c>
      <x:c r="M17" s="38" t="str">
        <x:v>Alexa A∪B；⏸ 未执行；⏸ 未执行；⏸ 未执行；⏸ 未执行；⏸ 未执行</x:v>
      </x:c>
    </x:row>
    <x:row r="18" ht="56" customHeight="1">
      <x:c r="A18" s="202" t="str">
        <x:v>B0C6DJGR8Y</x:v>
      </x:c>
      <x:c r="B18" s="37" t="str">
        <x:v>无效</x:v>
      </x:c>
      <x:c r="C18" s="38" t="str">
        <x:v>与本品 ASIN 相同，不作为竞品</x:v>
      </x:c>
      <x:c r="D18" s="38" t="str">
        <x:v>玩家；远程办公人员；长时间坐姿舒适需求者〔A〕；注重外观者〔A〕；300磅以内用户；长时间坐姿舒适/支撑需求者〔B〕</x:v>
      </x:c>
      <x:c r="E18" s="38" t="str">
        <x:v>Gamers；Office Workers；Remote Workers；Comfort Seekers；Style-Conscious Users</x:v>
      </x:c>
      <x:c r="F18" s="38" t="str">
        <x:v>游戏/娱乐〔A〕；办公；放松/小睡；内容创作/直播〔A〕；游戏〔B〕；家庭娱乐/直播〔B〕</x:v>
      </x:c>
      <x:c r="G18" s="38" t="str">
        <x:v>Gaming Room / Setup；Office / Workspace；Streaming / Content Creation Setup；Entertainment / Leisure Space</x:v>
      </x:c>
      <x:c r="H18" s="38" t="str">
        <x:v>游戏；办公工作；放松〔A〕；一般室内坐用〔A〕；放松/休闲〔B〕</x:v>
      </x:c>
      <x:c r="I18" s="38" t="str">
        <x:v>Gaming；Work；Relaxing；General Seating</x:v>
      </x:c>
      <x:c r="J18" s="38" t="str">
        <x:v>Long Hours</x:v>
      </x:c>
      <x:c r="K18" s="38" t="str">
        <x:v>独立袋装弹簧；透气面料+可拆凝胶垫双重散热；可调按摩腰垫和头枕；135°后仰+脚托；无厚重侧翼的简洁设计；FSC木框；1年维修保障</x:v>
      </x:c>
      <x:c r="L18" s="38" t="str">
        <x:v>装配/安装、靠背晃动、机构异响、按摩腰枕无响应、靠背调节等问题〔B〕</x:v>
      </x:c>
      <x:c r="M18" s="38" t="str">
        <x:v>Alexa A∪B；✅ 双次并集；✅ 双次并集；✅ 双次并集；✅ 双次并集；⚠️ 单边有内容</x:v>
      </x:c>
    </x:row>
    <x:row r="19" ht="56" customHeight="1">
      <x:c r="A19" s="202" t="str">
        <x:v>B0C6DK233R</x:v>
      </x:c>
      <x:c r="B19" s="37" t="str">
        <x:v>无效</x:v>
      </x:c>
      <x:c r="C19" s="38" t="str">
        <x:v>与本品同父体 B0C6D9KGQV，不作为独立竞品</x:v>
      </x:c>
      <x:c r="D19" s="38" t="str">
        <x:v>玩家；远程办公人员/学生；长时间坐姿舒适需求者〔A〕；长时间舒适需求者〔B〕；空间有限者〔B〕</x:v>
      </x:c>
      <x:c r="E19" s="38" t="str">
        <x:v>Gamers；Office Workers；Remote Workers；Students；Comfort Seekers；Space-Constrained Users</x:v>
      </x:c>
      <x:c r="F19" s="38" t="str">
        <x:v>游戏；远程/办公室工作；内容创作〔A〕；放松；一般电脑使用〔A〕；直播/内容创作〔B〕；学习〔B〕</x:v>
      </x:c>
      <x:c r="G19" s="38" t="str">
        <x:v>Gaming Room / Setup；Office / Workspace；Streaming / Content Creation Setup；Study Area；Entertainment / Leisure Space</x:v>
      </x:c>
      <x:c r="H19" s="38" t="str">
        <x:v>游戏；长时间办公/电脑工作〔A〕；长时间办公〔B〕；直播〔B〕</x:v>
      </x:c>
      <x:c r="I19" s="38" t="str">
        <x:v>Gaming；Work；Streaming / Content Creation；Computer Use</x:v>
      </x:c>
      <x:c r="J19" s="38" t="str">
        <x:v>Long Hours</x:v>
      </x:c>
      <x:c r="K19" s="38" t="str">
        <x:v>独立袋装弹簧；透气科技布；加宽27%的无侧翼坐面；震动腰枕；135°后仰+脚托；可调头枕〔A〕；带绑带的可调头枕〔B〕；FSC木框等附件〔B〕</x:v>
      </x:c>
      <x:c r="L19" s="38" t="str">
        <x:v>未抓取到</x:v>
      </x:c>
      <x:c r="M19" s="38" t="str">
        <x:v>Alexa A∪B；✅ 双次并集；✅ 双次并集；✅ 双次并集；✅ 双次并集；○ 未抓取到</x:v>
      </x:c>
    </x:row>
    <x:row r="20" ht="56" customHeight="1">
      <x:c r="A20" s="202" t="str">
        <x:v>B0CDBR4CLF</x:v>
      </x:c>
      <x:c r="B20" s="37" t="str">
        <x:v>无效</x:v>
      </x:c>
      <x:c r="C20" s="38" t="str">
        <x:v>技术停止后未执行，无可用标签</x:v>
      </x:c>
      <x:c r="D20" s="38" t="str">
        <x:v>未执行</x:v>
      </x:c>
      <x:c r="E20" s="38" t="str"/>
      <x:c r="F20" s="38" t="str">
        <x:v>未执行</x:v>
      </x:c>
      <x:c r="G20" s="38" t="str"/>
      <x:c r="H20" s="38" t="str">
        <x:v>未执行</x:v>
      </x:c>
      <x:c r="I20" s="38" t="str"/>
      <x:c r="J20" s="38" t="str"/>
      <x:c r="K20" s="38" t="str">
        <x:v>未执行</x:v>
      </x:c>
      <x:c r="L20" s="38" t="str">
        <x:v>未执行</x:v>
      </x:c>
      <x:c r="M20" s="38" t="str">
        <x:v>Alexa A∪B；⏸ 未执行；⏸ 未执行；⏸ 未执行；⏸ 未执行；⏸ 未执行</x:v>
      </x:c>
    </x:row>
    <x:row r="21" ht="56" customHeight="1">
      <x:c r="A21" s="202" t="str">
        <x:v>B0DCFKTX8N</x:v>
      </x:c>
      <x:c r="B21" s="37" t="str">
        <x:v>无效</x:v>
      </x:c>
      <x:c r="C21" s="38" t="str">
        <x:v>同父体重复子体；父体 B0C58F2CS1；代表 ASIN B0C58DNX85</x:v>
      </x:c>
      <x:c r="D21" s="38" t="str">
        <x:v>玩家/主播〔A〕；青少年/年轻成人〔A〕；伏案人员/学生〔A〕；注重舒适与猫系风格者〔A〕；290磅以内用户；玩家/内容创作者〔B〕；办公室人员/学生〔B〕；猫爱好者〔B〕；舒适需求者〔B〕；青少年及以上〔B〕</x:v>
      </x:c>
      <x:c r="E21" s="38" t="str">
        <x:v>Gamers；Content Creators / Streamers；Office Workers；Students；Teens / Young Adults；Comfort Seekers；Style-Conscious Users</x:v>
      </x:c>
      <x:c r="F21" s="38" t="str">
        <x:v>游戏；桌面工作/学习〔A〕；阅读/放松；直播/内容创作；游戏室/家庭办公室/学习室〔A〕；居家办公〔B〕；学习〔B〕；游戏室/家庭办公室/卧室/学习区〔B〕</x:v>
      </x:c>
      <x:c r="G21" s="38" t="str">
        <x:v>Gaming Room / Setup；Home Office；Office / Workspace；Streaming / Content Creation Setup；Study Area；Bedroom；Entertainment / Leisure Space</x:v>
      </x:c>
      <x:c r="H21" s="38" t="str">
        <x:v>游戏；长时间桌面工作〔A〕；直播/内容创作〔A〕；学习〔A〕；阅读〔A〕；长时间电脑/办公〔B〕；阅读与放松〔B〕</x:v>
      </x:c>
      <x:c r="I21" s="38" t="str">
        <x:v>Gaming；Work；Streaming / Content Creation；Study；Reading；Relaxing；Computer Use</x:v>
      </x:c>
      <x:c r="J21" s="38" t="str">
        <x:v>Long Hours</x:v>
      </x:c>
      <x:c r="K21" s="38" t="str">
        <x:v>可拆猫耳和猫形头枕〔A〕；按摩腰靠；联动扶手；90°–140°三档后仰；重载合金钢/290磅；可调头枕；皮革+织物〔A〕；可拆猫耳、猫形头枕和刺绣〔B〕</x:v>
      </x:c>
      <x:c r="L21" s="38" t="str">
        <x:v>最大承重290磅</x:v>
      </x:c>
      <x:c r="M21" s="38" t="str">
        <x:v>Alexa A∪B；✅ 双次并集；✅ 双次并集；✅ 双次并集；✅ 双次并集；✅ 双次并集</x:v>
      </x:c>
    </x:row>
    <x:row r="22" ht="56" customHeight="1">
      <x:c r="A22" s="202" t="str">
        <x:v>B0DDCJ18Y3</x:v>
      </x:c>
      <x:c r="B22" s="37" t="str">
        <x:v>无效</x:v>
      </x:c>
      <x:c r="C22" s="38" t="str">
        <x:v>技术停止后未执行，无可用标签</x:v>
      </x:c>
      <x:c r="D22" s="38" t="str">
        <x:v>未执行</x:v>
      </x:c>
      <x:c r="E22" s="38" t="str"/>
      <x:c r="F22" s="38" t="str">
        <x:v>未执行</x:v>
      </x:c>
      <x:c r="G22" s="38" t="str"/>
      <x:c r="H22" s="38" t="str">
        <x:v>未执行</x:v>
      </x:c>
      <x:c r="I22" s="38" t="str"/>
      <x:c r="J22" s="38" t="str"/>
      <x:c r="K22" s="38" t="str">
        <x:v>未执行</x:v>
      </x:c>
      <x:c r="L22" s="38" t="str">
        <x:v>未执行</x:v>
      </x:c>
      <x:c r="M22" s="38" t="str">
        <x:v>Alexa A∪B；⏸ 未执行；⏸ 未执行；⏸ 未执行；⏸ 未执行；⏸ 未执行</x:v>
      </x:c>
    </x:row>
    <x:row r="23" ht="56" customHeight="1">
      <x:c r="A23" s="202" t="str">
        <x:v>B0FJS3XHK4</x:v>
      </x:c>
      <x:c r="B23" s="37" t="str">
        <x:v>无效</x:v>
      </x:c>
      <x:c r="C23" s="38" t="str">
        <x:v>同父体重复子体；父体 B0FRMQMJ99；代表 ASIN B0FRMQ5X9R</x:v>
      </x:c>
      <x:c r="D23" s="38" t="str">
        <x:v>玩家/电竞选手；主播/内容创作者；远程办公人员/学生；长时间坐姿舒适需求者〔A〕；330磅以内成人〔A〕；背部支撑需求者〔B〕；330磅以内用户〔B〕</x:v>
      </x:c>
      <x:c r="E23" s="38" t="str">
        <x:v>Gamers；Content Creators / Streamers；Office Workers；Remote Workers；Students；Back Support Seekers；Comfort Seekers</x:v>
      </x:c>
      <x:c r="F23" s="38" t="str">
        <x:v>游戏/电竞；家庭办公；内容创作〔A〕；学习；放松/恢复〔A〕；直播/内容创作〔B〕；工作与放松切换〔B〕</x:v>
      </x:c>
      <x:c r="G23" s="38" t="str">
        <x:v>Gaming Room / Setup；Office / Workspace；Streaming / Content Creation Setup；Study Area；Entertainment / Leisure Space</x:v>
      </x:c>
      <x:c r="H23" s="38" t="str">
        <x:v>游戏/电竞〔A〕；直播〔A〕；家庭办公/学习〔A〕；恢复与放松〔A〕；游戏/直播〔B〕；长时间办公〔B〕；放松〔B〕；远程工作/内容创作〔B〕</x:v>
      </x:c>
      <x:c r="I23" s="38" t="str">
        <x:v>Gaming；Work；Streaming / Content Creation；Study；Relaxing</x:v>
      </x:c>
      <x:c r="J23" s="38" t="str">
        <x:v>Long Hours</x:v>
      </x:c>
      <x:c r="K23" s="38" t="str">
        <x:v>按摩腰靠；弹簧坐垫；150°后仰；可调头枕/腰枕〔A〕；2D联动扶手；330磅铝制底座+SGS气压杆；PU+网布；FSC框架；电竞外观〔A〕；可调头枕〔B〕</x:v>
      </x:c>
      <x:c r="L23" s="38" t="str">
        <x:v>330磅承重上限〔A〕；仅限室内〔A〕；需组装〔A〕</x:v>
      </x:c>
      <x:c r="M23" s="38" t="str">
        <x:v>Alexa A∪B；✅ 双次并集；✅ 双次并集；✅ 双次并集；✅ 双次并集；⚠️ 单边有内容</x:v>
      </x:c>
    </x:row>
    <x:row r="24" ht="56" customHeight="1">
      <x:c r="A24" s="202" t="str">
        <x:v>B0FK5PR3KF</x:v>
      </x:c>
      <x:c r="B24" s="37" t="str">
        <x:v>无效</x:v>
      </x:c>
      <x:c r="C24" s="38" t="str">
        <x:v>技术停止后未执行，无可用标签</x:v>
      </x:c>
      <x:c r="D24" s="38" t="str">
        <x:v>未执行</x:v>
      </x:c>
      <x:c r="E24" s="38" t="str"/>
      <x:c r="F24" s="38" t="str">
        <x:v>未执行</x:v>
      </x:c>
      <x:c r="G24" s="38" t="str"/>
      <x:c r="H24" s="38" t="str">
        <x:v>未执行</x:v>
      </x:c>
      <x:c r="I24" s="38" t="str"/>
      <x:c r="J24" s="38" t="str"/>
      <x:c r="K24" s="38" t="str">
        <x:v>未执行</x:v>
      </x:c>
      <x:c r="L24" s="38" t="str">
        <x:v>未执行</x:v>
      </x:c>
      <x:c r="M24" s="38" t="str">
        <x:v>Alexa A∪B；⏸ 未执行；⏸ 未执行；⏸ 未执行；⏸ 未执行；⏸ 未执行</x:v>
      </x:c>
    </x:row>
    <x:row r="25" ht="56" customHeight="1">
      <x:c r="A25" s="202" t="str">
        <x:v>B0FK5QH9NW</x:v>
      </x:c>
      <x:c r="B25" s="37" t="str">
        <x:v>无效</x:v>
      </x:c>
      <x:c r="C25" s="38" t="str">
        <x:v>技术停止后未执行，无可用标签</x:v>
      </x:c>
      <x:c r="D25" s="38" t="str">
        <x:v>未执行</x:v>
      </x:c>
      <x:c r="E25" s="38" t="str"/>
      <x:c r="F25" s="38" t="str">
        <x:v>未执行</x:v>
      </x:c>
      <x:c r="G25" s="38" t="str"/>
      <x:c r="H25" s="38" t="str">
        <x:v>未执行</x:v>
      </x:c>
      <x:c r="I25" s="38" t="str"/>
      <x:c r="J25" s="38" t="str"/>
      <x:c r="K25" s="38" t="str">
        <x:v>未执行</x:v>
      </x:c>
      <x:c r="L25" s="38" t="str">
        <x:v>未执行</x:v>
      </x:c>
      <x:c r="M25" s="38" t="str">
        <x:v>Alexa A∪B；⏸ 未执行；⏸ 未执行；⏸ 未执行；⏸ 未执行；⏸ 未执行</x:v>
      </x:c>
    </x:row>
    <x:row r="26" ht="56" customHeight="1">
      <x:c r="A26" s="202" t="str">
        <x:v>B0FK5SQY3K</x:v>
      </x:c>
      <x:c r="B26" s="37" t="str">
        <x:v>无效</x:v>
      </x:c>
      <x:c r="C26" s="38" t="str">
        <x:v>同父体重复子体；父体 B0FK5R58VT；代表 ASIN B0FK5PQH4J</x:v>
      </x:c>
      <x:c r="D26" s="38" t="str">
        <x:v>玩家/电竞爱好者〔A〕；远程办公人员〔A〕；大体型用户；腰背紧张者〔A〕；放松需求者〔A〕；玩家〔B〕；办公室人员〔B〕；舒适功能需求者〔B〕；背部支撑需求者〔B〕</x:v>
      </x:c>
      <x:c r="E26" s="38" t="str">
        <x:v>Gamers；Office Workers；Remote Workers；Big &amp; Tall Users；Back Support Seekers；Relaxation Seekers</x:v>
      </x:c>
      <x:c r="F26" s="38" t="str">
        <x:v>游戏马拉松；全天办公；休闲倚坐/阅读；午间休息；腰背恢复〔A〕</x:v>
      </x:c>
      <x:c r="G26" s="38" t="str">
        <x:v>Gaming Room / Setup；Office / Workspace；Entertainment / Leisure Space</x:v>
      </x:c>
      <x:c r="H26" s="38" t="str">
        <x:v>游戏；办公；休闲倚坐〔A〕；阅读/休息〔A〕；休闲倚坐与放松〔B〕</x:v>
      </x:c>
      <x:c r="I26" s="38" t="str">
        <x:v>Gaming；Work；Reading；Relaxing</x:v>
      </x:c>
      <x:c r="J26" s="38" t="str">
        <x:v>All-Day Use；Extended Sessions</x:v>
      </x:c>
      <x:c r="K26" s="38" t="str">
        <x:v>可调温加热按摩；袋装弹簧；可翻转双面腰垫；散热面料；大体型350磅/开放底座；人体工学头背轮廓；155°后仰+脚托；FSC木框〔A〕</x:v>
      </x:c>
      <x:c r="L26" s="38" t="str">
        <x:v>未抓取到</x:v>
      </x:c>
      <x:c r="M26" s="38" t="str">
        <x:v>Alexa A∪B；✅ 双次并集；✅ 双次并集；✅ 双次并集；✅ 双次并集；○ 未抓取到</x:v>
      </x:c>
    </x:row>
    <x:row r="27" ht="56" customHeight="1">
      <x:c r="A27" s="202" t="str">
        <x:v>B0FQV4G5W5</x:v>
      </x:c>
      <x:c r="B27" s="37" t="str">
        <x:v>无效</x:v>
      </x:c>
      <x:c r="C27" s="38" t="str">
        <x:v>技术停止后未执行，无可用标签</x:v>
      </x:c>
      <x:c r="D27" s="38" t="str">
        <x:v>未执行</x:v>
      </x:c>
      <x:c r="E27" s="38" t="str"/>
      <x:c r="F27" s="38" t="str">
        <x:v>未执行</x:v>
      </x:c>
      <x:c r="G27" s="38" t="str"/>
      <x:c r="H27" s="38" t="str">
        <x:v>未执行</x:v>
      </x:c>
      <x:c r="I27" s="38" t="str"/>
      <x:c r="J27" s="38" t="str"/>
      <x:c r="K27" s="38" t="str">
        <x:v>未执行</x:v>
      </x:c>
      <x:c r="L27" s="38" t="str">
        <x:v>未执行</x:v>
      </x:c>
      <x:c r="M27" s="38" t="str">
        <x:v>Alexa A∪B；⏸ 未执行；⏸ 未执行；⏸ 未执行；⏸ 未执行；⏸ 未执行</x:v>
      </x:c>
    </x:row>
    <x:row r="28" ht="56" customHeight="1">
      <x:c r="A28" s="202" t="str">
        <x:v>B0FRMP384K</x:v>
      </x:c>
      <x:c r="B28" s="37" t="str">
        <x:v>无效</x:v>
      </x:c>
      <x:c r="C28" s="38" t="str">
        <x:v>技术停止后未执行，无可用标签</x:v>
      </x:c>
      <x:c r="D28" s="38" t="str">
        <x:v>未执行</x:v>
      </x:c>
      <x:c r="E28" s="38" t="str"/>
      <x:c r="F28" s="38" t="str">
        <x:v>未执行</x:v>
      </x:c>
      <x:c r="G28" s="38" t="str"/>
      <x:c r="H28" s="38" t="str">
        <x:v>未执行</x:v>
      </x:c>
      <x:c r="I28" s="38" t="str"/>
      <x:c r="J28" s="38" t="str"/>
      <x:c r="K28" s="38" t="str">
        <x:v>未执行</x:v>
      </x:c>
      <x:c r="L28" s="38" t="str">
        <x:v>未执行</x:v>
      </x:c>
      <x:c r="M28" s="38" t="str">
        <x:v>Alexa A∪B；⏸ 未执行；⏸ 未执行；⏸ 未执行；⏸ 未执行；⏸ 未执行</x:v>
      </x:c>
    </x:row>
    <x:row r="29" ht="56" customHeight="1">
      <x:c r="A29" s="202" t="str">
        <x:v>B0FRMS6KF3</x:v>
      </x:c>
      <x:c r="B29" s="37" t="str">
        <x:v>无效</x:v>
      </x:c>
      <x:c r="C29" s="38" t="str">
        <x:v>同父体重复子体；父体 B0FRMQMJ99；代表 ASIN B0FRMQ5X9R</x:v>
      </x:c>
      <x:c r="D29" s="38" t="str">
        <x:v>玩家/电竞选手〔A〕；远程/办公室人员；主播/内容创作者〔A〕；背部不适者〔A〕；330磅以内大体型用户；玩家〔B〕；内容创作者/主播〔B〕；姿势/背部支撑需求者〔B〕</x:v>
      </x:c>
      <x:c r="E29" s="38" t="str">
        <x:v>Gamers；Content Creators / Streamers；Office Workers；Remote Workers；Big &amp; Tall Users；Back Support Seekers</x:v>
      </x:c>
      <x:c r="F29" s="38" t="str">
        <x:v>游戏/电竞；家庭办公室/居家工作〔A〕；内容创作〔A〕；学习；一般专业办公〔A〕；居家工作〔B〕；直播〔B〕；一般办公〔B〕</x:v>
      </x:c>
      <x:c r="G29" s="38" t="str">
        <x:v>Gaming Room / Setup；Home Office；Office / Workspace；Streaming / Content Creation Setup；Study Area</x:v>
      </x:c>
      <x:c r="H29" s="38" t="str">
        <x:v>游戏；直播/内容创作；居家办公；一般电脑工作</x:v>
      </x:c>
      <x:c r="I29" s="38" t="str">
        <x:v>Gaming；Work；Streaming / Content Creation；Computer Use</x:v>
      </x:c>
      <x:c r="J29" s="38" t="str"/>
      <x:c r="K29" s="38" t="str">
        <x:v>2D联动扶手；震动按摩腰靠；弹簧坐垫；PU+网布；150°后仰；SGS气压杆+铝底座；A称350磅〔A〕；B称330磅〔B〕</x:v>
      </x:c>
      <x:c r="L29" s="38" t="str">
        <x:v>未抓取到</x:v>
      </x:c>
      <x:c r="M29" s="38" t="str">
        <x:v>Alexa A∪B；✅ 双次并集；✅ 双次并集；✅ 双次并集；✅ 双次并集；○ 未抓取到</x:v>
      </x:c>
    </x:row>
    <x:row r="30" ht="56" customHeight="1">
      <x:c r="A30" s="202" t="str">
        <x:v>B0FWQXSNLX</x:v>
      </x:c>
      <x:c r="B30" s="37" t="str">
        <x:v>无效</x:v>
      </x:c>
      <x:c r="C30" s="38" t="str">
        <x:v>技术停止后未执行，无可用标签</x:v>
      </x:c>
      <x:c r="D30" s="38" t="str">
        <x:v>未执行</x:v>
      </x:c>
      <x:c r="E30" s="38" t="str"/>
      <x:c r="F30" s="38" t="str">
        <x:v>未执行</x:v>
      </x:c>
      <x:c r="G30" s="38" t="str"/>
      <x:c r="H30" s="38" t="str">
        <x:v>未执行</x:v>
      </x:c>
      <x:c r="I30" s="38" t="str"/>
      <x:c r="J30" s="38" t="str"/>
      <x:c r="K30" s="38" t="str">
        <x:v>未执行</x:v>
      </x:c>
      <x:c r="L30" s="38" t="str">
        <x:v>未执行</x:v>
      </x:c>
      <x:c r="M30" s="38" t="str">
        <x:v>Alexa A∪B；⏸ 未执行；⏸ 未执行；⏸ 未执行；⏸ 未执行；⏸ 未执行</x:v>
      </x:c>
    </x:row>
    <x:row r="31" ht="56" customHeight="1">
      <x:c r="A31" s="202" t="str">
        <x:v>B0H38CD82D</x:v>
      </x:c>
      <x:c r="B31" s="37" t="str">
        <x:v>无效</x:v>
      </x:c>
      <x:c r="C31" s="38" t="str">
        <x:v>技术停止后未执行，无可用标签</x:v>
      </x:c>
      <x:c r="D31" s="38" t="str">
        <x:v>未执行</x:v>
      </x:c>
      <x:c r="E31" s="38" t="str"/>
      <x:c r="F31" s="38" t="str">
        <x:v>未执行</x:v>
      </x:c>
      <x:c r="G31" s="38" t="str"/>
      <x:c r="H31" s="38" t="str">
        <x:v>未执行</x:v>
      </x:c>
      <x:c r="I31" s="38" t="str"/>
      <x:c r="J31" s="38" t="str"/>
      <x:c r="K31" s="38" t="str">
        <x:v>未执行</x:v>
      </x:c>
      <x:c r="L31" s="38" t="str">
        <x:v>未执行</x:v>
      </x:c>
      <x:c r="M31" s="38" t="str">
        <x:v>Alexa A∪B；⏸ 未执行；⏸ 未执行；⏸ 未执行；⏸ 未执行；⏸ 未执行</x:v>
      </x:c>
    </x:row>
  </x:sheetData>
  <x:conditionalFormatting sqref="B2:B31">
    <x:cfRule type="containsText" dxfId="0" priority="1" operator="containsText" text="有效"/>
    <x:cfRule type="containsText" dxfId="1" priority="2" operator="containsText" text="身份异常"/>
  </x:conditionalFormatting>
  <x:pageMargins left="0.7" right="0.7" top="0.75" bottom="0.75" header="0.3" footer="0.3"/>
  <x:tableParts count="1">
    <x:tablePart xmlns:r="http://schemas.openxmlformats.org/officeDocument/2006/relationships" r:id="Re46978849607467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0" hidden="0" customWidth="1"/>
    <x:col min="3" max="3" width="12" hidden="0" customWidth="1"/>
    <x:col min="4" max="4" width="12" hidden="0" customWidth="1"/>
    <x:col min="5" max="5" width="12" hidden="0" customWidth="1"/>
    <x:col min="6" max="6" width="30" hidden="0" customWidth="1"/>
    <x:col min="7" max="7" width="14" hidden="0" customWidth="1"/>
    <x:col min="8" max="8" width="42" hidden="0" customWidth="1"/>
    <x:col min="9" max="9" width="24" hidden="0" customWidth="1"/>
  </x:cols>
  <x:sheetData>
    <x:row r="1" ht="40" customHeight="1">
      <x:c r="A1" s="16" t="str">
        <x:v>标签</x:v>
      </x:c>
      <x:c r="B1" s="16" t="str">
        <x:v>标签类型</x:v>
      </x:c>
      <x:c r="C1" s="16" t="str">
        <x:v>覆盖竞品数</x:v>
      </x:c>
      <x:c r="D1" s="16" t="str">
        <x:v>有效竞品总数</x:v>
      </x:c>
      <x:c r="E1" s="16" t="str">
        <x:v>Coverage</x:v>
      </x:c>
      <x:c r="F1" s="16" t="str">
        <x:v>Coverage 等级</x:v>
      </x:c>
      <x:c r="G1" s="16" t="str">
        <x:v>是否全竞品共识</x:v>
      </x:c>
      <x:c r="H1" s="16" t="str">
        <x:v>覆盖 ASIN</x:v>
      </x:c>
      <x:c r="I1" s="16" t="str">
        <x:v>样本状态</x:v>
      </x:c>
    </x:row>
    <x:row r="2" ht="28" customHeight="1">
      <x:c r="A2" s="45" t="str">
        <x:v>Gamers</x:v>
      </x:c>
      <x:c r="B2" s="155" t="str">
        <x:v>人群</x:v>
      </x:c>
      <x:c r="C2" s="47" t="n">
        <x:f>COUNTIF('标签介绍度'!$B$2:$B$172,A2)</x:f>
        <x:v>10</x:v>
      </x:c>
      <x:c r="D2" s="47" t="n">
        <x:f>COUNTIF('竞品打标签'!$B$2:$B$31,"有效")</x:f>
        <x:v>10</x:v>
      </x:c>
      <x:c r="E2" s="48" t="n">
        <x:f>IF(D2=0,"",C2/D2)</x:f>
        <x:v>1</x:v>
      </x:c>
      <x:c r="F2" s="45" t="str">
        <x:f>IF(E2=1,"Absolute Consensus / 全竞品共识",IF(E2&gt;=0.8,"高覆盖",IF(E2&gt;=0.5,"中覆盖",IF(E2&gt;=0.2,"低覆盖","极低覆盖"))))</x:f>
        <x:v>Absolute Consensus / 全竞品共识</x:v>
      </x:c>
      <x:c r="G2" s="45" t="str">
        <x:f>IF(E2=1,"是","否")</x:f>
        <x:v>是</x:v>
      </x:c>
      <x:c r="H2" s="45" t="str">
        <x:v>B0BYYLPJQG；B0C58DNX85；B0D4YV8KZR；B0DDCK8JPB；B0DSBHRM8Y；B0FK5PQH4J；B0FKM4RNW2；B0FRMQ5X9R；B0H3ZBMLT1；B0H7HKB2LN</x:v>
      </x:c>
      <x:c r="I2" s="45" t="str">
        <x:f>IF(D2&lt;10,"样本不足，不得作为正式结论","正式样本")</x:f>
        <x:v>正式样本</x:v>
      </x:c>
    </x:row>
    <x:row r="3" ht="28" customHeight="1">
      <x:c r="A3" s="41" t="str">
        <x:v>Office Workers</x:v>
      </x:c>
      <x:c r="B3" s="157" t="str">
        <x:v>人群</x:v>
      </x:c>
      <x:c r="C3" s="43" t="n">
        <x:f>COUNTIF('标签介绍度'!$B$2:$B$172,A3)</x:f>
        <x:v>10</x:v>
      </x:c>
      <x:c r="D3" s="43" t="n">
        <x:f>COUNTIF('竞品打标签'!$B$2:$B$31,"有效")</x:f>
        <x:v>10</x:v>
      </x:c>
      <x:c r="E3" s="44" t="n">
        <x:f>IF(D3=0,"",C3/D3)</x:f>
        <x:v>1</x:v>
      </x:c>
      <x:c r="F3" s="41" t="str">
        <x:f>IF(E3=1,"Absolute Consensus / 全竞品共识",IF(E3&gt;=0.8,"高覆盖",IF(E3&gt;=0.5,"中覆盖",IF(E3&gt;=0.2,"低覆盖","极低覆盖"))))</x:f>
        <x:v>Absolute Consensus / 全竞品共识</x:v>
      </x:c>
      <x:c r="G3" s="41" t="str">
        <x:f>IF(E3=1,"是","否")</x:f>
        <x:v>是</x:v>
      </x:c>
      <x:c r="H3" s="41" t="str">
        <x:v>B0BYYLPJQG；B0C58DNX85；B0D4YV8KZR；B0DDCK8JPB；B0DSBHRM8Y；B0FK5PQH4J；B0FKM4RNW2；B0FRMQ5X9R；B0H3ZBMLT1；B0H7HKB2LN</x:v>
      </x:c>
      <x:c r="I3" s="41" t="str">
        <x:f>IF(D3&lt;10,"样本不足，不得作为正式结论","正式样本")</x:f>
        <x:v>正式样本</x:v>
      </x:c>
    </x:row>
    <x:row r="4" ht="28" customHeight="1">
      <x:c r="A4" s="41" t="str">
        <x:v>Big &amp; Tall Users</x:v>
      </x:c>
      <x:c r="B4" s="157" t="str">
        <x:v>人群</x:v>
      </x:c>
      <x:c r="C4" s="43" t="n">
        <x:f>COUNTIF('标签介绍度'!$B$2:$B$172,A4)</x:f>
        <x:v>6</x:v>
      </x:c>
      <x:c r="D4" s="43" t="n">
        <x:f>COUNTIF('竞品打标签'!$B$2:$B$31,"有效")</x:f>
        <x:v>10</x:v>
      </x:c>
      <x:c r="E4" s="44" t="n">
        <x:f>IF(D4=0,"",C4/D4)</x:f>
        <x:v>0.6</x:v>
      </x:c>
      <x:c r="F4" s="41" t="str">
        <x:f>IF(E4=1,"Absolute Consensus / 全竞品共识",IF(E4&gt;=0.8,"高覆盖",IF(E4&gt;=0.5,"中覆盖",IF(E4&gt;=0.2,"低覆盖","极低覆盖"))))</x:f>
        <x:v>中覆盖</x:v>
      </x:c>
      <x:c r="G4" s="41" t="str">
        <x:f>IF(E4=1,"是","否")</x:f>
        <x:v>否</x:v>
      </x:c>
      <x:c r="H4" s="41" t="str">
        <x:v>B0BYYLPJQG；B0DSBHRM8Y；B0FK5PQH4J；B0FKM4RNW2；B0H3ZBMLT1；B0H7HKB2LN</x:v>
      </x:c>
      <x:c r="I4" s="41" t="str">
        <x:f>IF(D4&lt;10,"样本不足，不得作为正式结论","正式样本")</x:f>
        <x:v>正式样本</x:v>
      </x:c>
    </x:row>
    <x:row r="5" ht="28" customHeight="1">
      <x:c r="A5" s="41" t="str">
        <x:v>Content Creators / Streamers</x:v>
      </x:c>
      <x:c r="B5" s="157" t="str">
        <x:v>人群</x:v>
      </x:c>
      <x:c r="C5" s="43" t="n">
        <x:f>COUNTIF('标签介绍度'!$B$2:$B$172,A5)</x:f>
        <x:v>6</x:v>
      </x:c>
      <x:c r="D5" s="43" t="n">
        <x:f>COUNTIF('竞品打标签'!$B$2:$B$31,"有效")</x:f>
        <x:v>10</x:v>
      </x:c>
      <x:c r="E5" s="44" t="n">
        <x:f>IF(D5=0,"",C5/D5)</x:f>
        <x:v>0.6</x:v>
      </x:c>
      <x:c r="F5" s="41" t="str">
        <x:f>IF(E5=1,"Absolute Consensus / 全竞品共识",IF(E5&gt;=0.8,"高覆盖",IF(E5&gt;=0.5,"中覆盖",IF(E5&gt;=0.2,"低覆盖","极低覆盖"))))</x:f>
        <x:v>中覆盖</x:v>
      </x:c>
      <x:c r="G5" s="41" t="str">
        <x:f>IF(E5=1,"是","否")</x:f>
        <x:v>否</x:v>
      </x:c>
      <x:c r="H5" s="41" t="str">
        <x:v>B0BYYLPJQG；B0C58DNX85；B0D4YV8KZR；B0DDCK8JPB；B0FKM4RNW2；B0FRMQ5X9R</x:v>
      </x:c>
      <x:c r="I5" s="41" t="str">
        <x:f>IF(D5&lt;10,"样本不足，不得作为正式结论","正式样本")</x:f>
        <x:v>正式样本</x:v>
      </x:c>
    </x:row>
    <x:row r="6" ht="28" customHeight="1">
      <x:c r="A6" s="41" t="str">
        <x:v>Comfort Seekers</x:v>
      </x:c>
      <x:c r="B6" s="157" t="str">
        <x:v>人群</x:v>
      </x:c>
      <x:c r="C6" s="43" t="n">
        <x:f>COUNTIF('标签介绍度'!$B$2:$B$172,A6)</x:f>
        <x:v>5</x:v>
      </x:c>
      <x:c r="D6" s="43" t="n">
        <x:f>COUNTIF('竞品打标签'!$B$2:$B$31,"有效")</x:f>
        <x:v>10</x:v>
      </x:c>
      <x:c r="E6" s="44" t="n">
        <x:f>IF(D6=0,"",C6/D6)</x:f>
        <x:v>0.5</x:v>
      </x:c>
      <x:c r="F6" s="41" t="str">
        <x:f>IF(E6=1,"Absolute Consensus / 全竞品共识",IF(E6&gt;=0.8,"高覆盖",IF(E6&gt;=0.5,"中覆盖",IF(E6&gt;=0.2,"低覆盖","极低覆盖"))))</x:f>
        <x:v>中覆盖</x:v>
      </x:c>
      <x:c r="G6" s="41" t="str">
        <x:f>IF(E6=1,"是","否")</x:f>
        <x:v>否</x:v>
      </x:c>
      <x:c r="H6" s="41" t="str">
        <x:v>B0BYYLPJQG；B0DDCK8JPB；B0FK5PQH4J；B0FKM4RNW2；B0H7HKB2LN</x:v>
      </x:c>
      <x:c r="I6" s="41" t="str">
        <x:f>IF(D6&lt;10,"样本不足，不得作为正式结论","正式样本")</x:f>
        <x:v>正式样本</x:v>
      </x:c>
    </x:row>
    <x:row r="7" ht="28" customHeight="1">
      <x:c r="A7" s="41" t="str">
        <x:v>Remote Workers</x:v>
      </x:c>
      <x:c r="B7" s="157" t="str">
        <x:v>人群</x:v>
      </x:c>
      <x:c r="C7" s="43" t="n">
        <x:f>COUNTIF('标签介绍度'!$B$2:$B$172,A7)</x:f>
        <x:v>5</x:v>
      </x:c>
      <x:c r="D7" s="43" t="n">
        <x:f>COUNTIF('竞品打标签'!$B$2:$B$31,"有效")</x:f>
        <x:v>10</x:v>
      </x:c>
      <x:c r="E7" s="44" t="n">
        <x:f>IF(D7=0,"",C7/D7)</x:f>
        <x:v>0.5</x:v>
      </x:c>
      <x:c r="F7" s="41" t="str">
        <x:f>IF(E7=1,"Absolute Consensus / 全竞品共识",IF(E7&gt;=0.8,"高覆盖",IF(E7&gt;=0.5,"中覆盖",IF(E7&gt;=0.2,"低覆盖","极低覆盖"))))</x:f>
        <x:v>中覆盖</x:v>
      </x:c>
      <x:c r="G7" s="41" t="str">
        <x:f>IF(E7=1,"是","否")</x:f>
        <x:v>否</x:v>
      </x:c>
      <x:c r="H7" s="41" t="str">
        <x:v>B0C58DNX85；B0D4YV8KZR；B0DDCK8JPB；B0H3ZBMLT1；B0H7HKB2LN</x:v>
      </x:c>
      <x:c r="I7" s="41" t="str">
        <x:f>IF(D7&lt;10,"样本不足，不得作为正式结论","正式样本")</x:f>
        <x:v>正式样本</x:v>
      </x:c>
    </x:row>
    <x:row r="8" ht="28" customHeight="1">
      <x:c r="A8" s="41" t="str">
        <x:v>Students</x:v>
      </x:c>
      <x:c r="B8" s="157" t="str">
        <x:v>人群</x:v>
      </x:c>
      <x:c r="C8" s="43" t="n">
        <x:f>COUNTIF('标签介绍度'!$B$2:$B$172,A8)</x:f>
        <x:v>4</x:v>
      </x:c>
      <x:c r="D8" s="43" t="n">
        <x:f>COUNTIF('竞品打标签'!$B$2:$B$31,"有效")</x:f>
        <x:v>10</x:v>
      </x:c>
      <x:c r="E8" s="44" t="n">
        <x:f>IF(D8=0,"",C8/D8)</x:f>
        <x:v>0.4</x:v>
      </x:c>
      <x:c r="F8" s="41" t="str">
        <x:f>IF(E8=1,"Absolute Consensus / 全竞品共识",IF(E8&gt;=0.8,"高覆盖",IF(E8&gt;=0.5,"中覆盖",IF(E8&gt;=0.2,"低覆盖","极低覆盖"))))</x:f>
        <x:v>低覆盖</x:v>
      </x:c>
      <x:c r="G8" s="41" t="str">
        <x:f>IF(E8=1,"是","否")</x:f>
        <x:v>否</x:v>
      </x:c>
      <x:c r="H8" s="41" t="str">
        <x:v>B0C58DNX85；B0D4YV8KZR；B0DDCK8JPB；B0FRMQ5X9R</x:v>
      </x:c>
      <x:c r="I8" s="41" t="str">
        <x:f>IF(D8&lt;10,"样本不足，不得作为正式结论","正式样本")</x:f>
        <x:v>正式样本</x:v>
      </x:c>
    </x:row>
    <x:row r="9" ht="28" customHeight="1">
      <x:c r="A9" s="41" t="str">
        <x:v>Back Support Seekers</x:v>
      </x:c>
      <x:c r="B9" s="157" t="str">
        <x:v>人群</x:v>
      </x:c>
      <x:c r="C9" s="43" t="n">
        <x:f>COUNTIF('标签介绍度'!$B$2:$B$172,A9)</x:f>
        <x:v>3</x:v>
      </x:c>
      <x:c r="D9" s="43" t="n">
        <x:f>COUNTIF('竞品打标签'!$B$2:$B$31,"有效")</x:f>
        <x:v>10</x:v>
      </x:c>
      <x:c r="E9" s="44" t="n">
        <x:f>IF(D9=0,"",C9/D9)</x:f>
        <x:v>0.3</x:v>
      </x:c>
      <x:c r="F9" s="41" t="str">
        <x:f>IF(E9=1,"Absolute Consensus / 全竞品共识",IF(E9&gt;=0.8,"高覆盖",IF(E9&gt;=0.5,"中覆盖",IF(E9&gt;=0.2,"低覆盖","极低覆盖"))))</x:f>
        <x:v>低覆盖</x:v>
      </x:c>
      <x:c r="G9" s="41" t="str">
        <x:f>IF(E9=1,"是","否")</x:f>
        <x:v>否</x:v>
      </x:c>
      <x:c r="H9" s="41" t="str">
        <x:v>B0FK5PQH4J；B0FRMQ5X9R；B0H3ZBMLT1</x:v>
      </x:c>
      <x:c r="I9" s="41" t="str">
        <x:f>IF(D9&lt;10,"样本不足，不得作为正式结论","正式样本")</x:f>
        <x:v>正式样本</x:v>
      </x:c>
    </x:row>
    <x:row r="10" ht="28" customHeight="1">
      <x:c r="A10" s="41" t="str">
        <x:v>Relaxation Seekers</x:v>
      </x:c>
      <x:c r="B10" s="157" t="str">
        <x:v>人群</x:v>
      </x:c>
      <x:c r="C10" s="43" t="n">
        <x:f>COUNTIF('标签介绍度'!$B$2:$B$172,A10)</x:f>
        <x:v>2</x:v>
      </x:c>
      <x:c r="D10" s="43" t="n">
        <x:f>COUNTIF('竞品打标签'!$B$2:$B$31,"有效")</x:f>
        <x:v>10</x:v>
      </x:c>
      <x:c r="E10" s="44" t="n">
        <x:f>IF(D10=0,"",C10/D10)</x:f>
        <x:v>0.2</x:v>
      </x:c>
      <x:c r="F10" s="41" t="str">
        <x:f>IF(E10=1,"Absolute Consensus / 全竞品共识",IF(E10&gt;=0.8,"高覆盖",IF(E10&gt;=0.5,"中覆盖",IF(E10&gt;=0.2,"低覆盖","极低覆盖"))))</x:f>
        <x:v>低覆盖</x:v>
      </x:c>
      <x:c r="G10" s="41" t="str">
        <x:f>IF(E10=1,"是","否")</x:f>
        <x:v>否</x:v>
      </x:c>
      <x:c r="H10" s="41" t="str">
        <x:v>B0BYYLPJQG；B0H3ZBMLT1</x:v>
      </x:c>
      <x:c r="I10" s="41" t="str">
        <x:f>IF(D10&lt;10,"样本不足，不得作为正式结论","正式样本")</x:f>
        <x:v>正式样本</x:v>
      </x:c>
    </x:row>
    <x:row r="11" ht="28" customHeight="1">
      <x:c r="A11" s="41" t="str">
        <x:v>Teens / Young Adults</x:v>
      </x:c>
      <x:c r="B11" s="157" t="str">
        <x:v>人群</x:v>
      </x:c>
      <x:c r="C11" s="43" t="n">
        <x:f>COUNTIF('标签介绍度'!$B$2:$B$172,A11)</x:f>
        <x:v>2</x:v>
      </x:c>
      <x:c r="D11" s="43" t="n">
        <x:f>COUNTIF('竞品打标签'!$B$2:$B$31,"有效")</x:f>
        <x:v>10</x:v>
      </x:c>
      <x:c r="E11" s="44" t="n">
        <x:f>IF(D11=0,"",C11/D11)</x:f>
        <x:v>0.2</x:v>
      </x:c>
      <x:c r="F11" s="41" t="str">
        <x:f>IF(E11=1,"Absolute Consensus / 全竞品共识",IF(E11&gt;=0.8,"高覆盖",IF(E11&gt;=0.5,"中覆盖",IF(E11&gt;=0.2,"低覆盖","极低覆盖"))))</x:f>
        <x:v>低覆盖</x:v>
      </x:c>
      <x:c r="G11" s="41" t="str">
        <x:f>IF(E11=1,"是","否")</x:f>
        <x:v>否</x:v>
      </x:c>
      <x:c r="H11" s="41" t="str">
        <x:v>B0C58DNX85；B0D4YV8KZR</x:v>
      </x:c>
      <x:c r="I11" s="41" t="str">
        <x:f>IF(D11&lt;10,"样本不足，不得作为正式结论","正式样本")</x:f>
        <x:v>正式样本</x:v>
      </x:c>
    </x:row>
    <x:row r="12" ht="28" customHeight="1">
      <x:c r="A12" s="41" t="str">
        <x:v>Budget-Conscious Buyers</x:v>
      </x:c>
      <x:c r="B12" s="157" t="str">
        <x:v>人群</x:v>
      </x:c>
      <x:c r="C12" s="43" t="n">
        <x:f>COUNTIF('标签介绍度'!$B$2:$B$172,A12)</x:f>
        <x:v>1</x:v>
      </x:c>
      <x:c r="D12" s="43" t="n">
        <x:f>COUNTIF('竞品打标签'!$B$2:$B$31,"有效")</x:f>
        <x:v>10</x:v>
      </x:c>
      <x:c r="E12" s="44" t="n">
        <x:f>IF(D12=0,"",C12/D12)</x:f>
        <x:v>0.1</x:v>
      </x:c>
      <x:c r="F12" s="41" t="str">
        <x:f>IF(E12=1,"Absolute Consensus / 全竞品共识",IF(E12&gt;=0.8,"高覆盖",IF(E12&gt;=0.5,"中覆盖",IF(E12&gt;=0.2,"低覆盖","极低覆盖"))))</x:f>
        <x:v>极低覆盖</x:v>
      </x:c>
      <x:c r="G12" s="41" t="str">
        <x:f>IF(E12=1,"是","否")</x:f>
        <x:v>否</x:v>
      </x:c>
      <x:c r="H12" s="41" t="str">
        <x:v>B0D4YV8KZR</x:v>
      </x:c>
      <x:c r="I12" s="41" t="str">
        <x:f>IF(D12&lt;10,"样本不足，不得作为正式结论","正式样本")</x:f>
        <x:v>正式样本</x:v>
      </x:c>
    </x:row>
    <x:row r="13" ht="28" customHeight="1">
      <x:c r="A13" s="41" t="str">
        <x:v>Health-Feature Seekers</x:v>
      </x:c>
      <x:c r="B13" s="157" t="str">
        <x:v>人群</x:v>
      </x:c>
      <x:c r="C13" s="43" t="n">
        <x:f>COUNTIF('标签介绍度'!$B$2:$B$172,A13)</x:f>
        <x:v>1</x:v>
      </x:c>
      <x:c r="D13" s="43" t="n">
        <x:f>COUNTIF('竞品打标签'!$B$2:$B$31,"有效")</x:f>
        <x:v>10</x:v>
      </x:c>
      <x:c r="E13" s="44" t="n">
        <x:f>IF(D13=0,"",C13/D13)</x:f>
        <x:v>0.1</x:v>
      </x:c>
      <x:c r="F13" s="41" t="str">
        <x:f>IF(E13=1,"Absolute Consensus / 全竞品共识",IF(E13&gt;=0.8,"高覆盖",IF(E13&gt;=0.5,"中覆盖",IF(E13&gt;=0.2,"低覆盖","极低覆盖"))))</x:f>
        <x:v>极低覆盖</x:v>
      </x:c>
      <x:c r="G13" s="41" t="str">
        <x:f>IF(E13=1,"是","否")</x:f>
        <x:v>否</x:v>
      </x:c>
      <x:c r="H13" s="41" t="str">
        <x:v>B0FK5PQH4J</x:v>
      </x:c>
      <x:c r="I13" s="41" t="str">
        <x:f>IF(D13&lt;10,"样本不足，不得作为正式结论","正式样本")</x:f>
        <x:v>正式样本</x:v>
      </x:c>
    </x:row>
    <x:row r="14" ht="28" customHeight="1">
      <x:c r="A14" s="41" t="str">
        <x:v>Quiet-Mobility Seekers</x:v>
      </x:c>
      <x:c r="B14" s="157" t="str">
        <x:v>人群</x:v>
      </x:c>
      <x:c r="C14" s="43" t="n">
        <x:f>COUNTIF('标签介绍度'!$B$2:$B$172,A14)</x:f>
        <x:v>1</x:v>
      </x:c>
      <x:c r="D14" s="43" t="n">
        <x:f>COUNTIF('竞品打标签'!$B$2:$B$31,"有效")</x:f>
        <x:v>10</x:v>
      </x:c>
      <x:c r="E14" s="44" t="n">
        <x:f>IF(D14=0,"",C14/D14)</x:f>
        <x:v>0.1</x:v>
      </x:c>
      <x:c r="F14" s="41" t="str">
        <x:f>IF(E14=1,"Absolute Consensus / 全竞品共识",IF(E14&gt;=0.8,"高覆盖",IF(E14&gt;=0.5,"中覆盖",IF(E14&gt;=0.2,"低覆盖","极低覆盖"))))</x:f>
        <x:v>极低覆盖</x:v>
      </x:c>
      <x:c r="G14" s="41" t="str">
        <x:f>IF(E14=1,"是","否")</x:f>
        <x:v>否</x:v>
      </x:c>
      <x:c r="H14" s="41" t="str">
        <x:v>B0BYYLPJQG</x:v>
      </x:c>
      <x:c r="I14" s="41" t="str">
        <x:f>IF(D14&lt;10,"样本不足，不得作为正式结论","正式样本")</x:f>
        <x:v>正式样本</x:v>
      </x:c>
    </x:row>
    <x:row r="15" ht="28" customHeight="1">
      <x:c r="A15" s="41" t="str">
        <x:v>Readers</x:v>
      </x:c>
      <x:c r="B15" s="157" t="str">
        <x:v>人群</x:v>
      </x:c>
      <x:c r="C15" s="43" t="n">
        <x:f>COUNTIF('标签介绍度'!$B$2:$B$172,A15)</x:f>
        <x:v>1</x:v>
      </x:c>
      <x:c r="D15" s="43" t="n">
        <x:f>COUNTIF('竞品打标签'!$B$2:$B$31,"有效")</x:f>
        <x:v>10</x:v>
      </x:c>
      <x:c r="E15" s="44" t="n">
        <x:f>IF(D15=0,"",C15/D15)</x:f>
        <x:v>0.1</x:v>
      </x:c>
      <x:c r="F15" s="41" t="str">
        <x:f>IF(E15=1,"Absolute Consensus / 全竞品共识",IF(E15&gt;=0.8,"高覆盖",IF(E15&gt;=0.5,"中覆盖",IF(E15&gt;=0.2,"低覆盖","极低覆盖"))))</x:f>
        <x:v>极低覆盖</x:v>
      </x:c>
      <x:c r="G15" s="41" t="str">
        <x:f>IF(E15=1,"是","否")</x:f>
        <x:v>否</x:v>
      </x:c>
      <x:c r="H15" s="41" t="str">
        <x:v>B0DDCK8JPB</x:v>
      </x:c>
      <x:c r="I15" s="41" t="str">
        <x:f>IF(D15&lt;10,"样本不足，不得作为正式结论","正式样本")</x:f>
        <x:v>正式样本</x:v>
      </x:c>
    </x:row>
    <x:row r="16" ht="28" customHeight="1">
      <x:c r="A16" s="41" t="str">
        <x:v>Small-Framed Users</x:v>
      </x:c>
      <x:c r="B16" s="157" t="str">
        <x:v>人群</x:v>
      </x:c>
      <x:c r="C16" s="43" t="n">
        <x:f>COUNTIF('标签介绍度'!$B$2:$B$172,A16)</x:f>
        <x:v>1</x:v>
      </x:c>
      <x:c r="D16" s="43" t="n">
        <x:f>COUNTIF('竞品打标签'!$B$2:$B$31,"有效")</x:f>
        <x:v>10</x:v>
      </x:c>
      <x:c r="E16" s="44" t="n">
        <x:f>IF(D16=0,"",C16/D16)</x:f>
        <x:v>0.1</x:v>
      </x:c>
      <x:c r="F16" s="41" t="str">
        <x:f>IF(E16=1,"Absolute Consensus / 全竞品共识",IF(E16&gt;=0.8,"高覆盖",IF(E16&gt;=0.5,"中覆盖",IF(E16&gt;=0.2,"低覆盖","极低覆盖"))))</x:f>
        <x:v>极低覆盖</x:v>
      </x:c>
      <x:c r="G16" s="41" t="str">
        <x:f>IF(E16=1,"是","否")</x:f>
        <x:v>否</x:v>
      </x:c>
      <x:c r="H16" s="41" t="str">
        <x:v>B0D4YV8KZR</x:v>
      </x:c>
      <x:c r="I16" s="41" t="str">
        <x:f>IF(D16&lt;10,"样本不足，不得作为正式结论","正式样本")</x:f>
        <x:v>正式样本</x:v>
      </x:c>
    </x:row>
    <x:row r="17" ht="28" customHeight="1">
      <x:c r="A17" s="41" t="str">
        <x:v>Style-Conscious Users</x:v>
      </x:c>
      <x:c r="B17" s="157" t="str">
        <x:v>人群</x:v>
      </x:c>
      <x:c r="C17" s="43" t="n">
        <x:f>COUNTIF('标签介绍度'!$B$2:$B$172,A17)</x:f>
        <x:v>1</x:v>
      </x:c>
      <x:c r="D17" s="43" t="n">
        <x:f>COUNTIF('竞品打标签'!$B$2:$B$31,"有效")</x:f>
        <x:v>10</x:v>
      </x:c>
      <x:c r="E17" s="44" t="n">
        <x:f>IF(D17=0,"",C17/D17)</x:f>
        <x:v>0.1</x:v>
      </x:c>
      <x:c r="F17" s="41" t="str">
        <x:f>IF(E17=1,"Absolute Consensus / 全竞品共识",IF(E17&gt;=0.8,"高覆盖",IF(E17&gt;=0.5,"中覆盖",IF(E17&gt;=0.2,"低覆盖","极低覆盖"))))</x:f>
        <x:v>极低覆盖</x:v>
      </x:c>
      <x:c r="G17" s="41" t="str">
        <x:f>IF(E17=1,"是","否")</x:f>
        <x:v>否</x:v>
      </x:c>
      <x:c r="H17" s="41" t="str">
        <x:v>B0C58DNX85</x:v>
      </x:c>
      <x:c r="I17" s="41" t="str">
        <x:f>IF(D17&lt;10,"样本不足，不得作为正式结论","正式样本")</x:f>
        <x:v>正式样本</x:v>
      </x:c>
    </x:row>
    <x:row r="18" ht="28" customHeight="1">
      <x:c r="A18" s="53" t="str">
        <x:v>Entertainment / Leisure Space</x:v>
      </x:c>
      <x:c r="B18" s="159" t="str">
        <x:v>场景</x:v>
      </x:c>
      <x:c r="C18" s="55" t="n">
        <x:f>COUNTIF('标签介绍度'!$B$2:$B$172,A18)</x:f>
        <x:v>10</x:v>
      </x:c>
      <x:c r="D18" s="55" t="n">
        <x:f>COUNTIF('竞品打标签'!$B$2:$B$31,"有效")</x:f>
        <x:v>10</x:v>
      </x:c>
      <x:c r="E18" s="56" t="n">
        <x:f>IF(D18=0,"",C18/D18)</x:f>
        <x:v>1</x:v>
      </x:c>
      <x:c r="F18" s="53" t="str">
        <x:f>IF(E18=1,"Absolute Consensus / 全竞品共识",IF(E18&gt;=0.8,"高覆盖",IF(E18&gt;=0.5,"中覆盖",IF(E18&gt;=0.2,"低覆盖","极低覆盖"))))</x:f>
        <x:v>Absolute Consensus / 全竞品共识</x:v>
      </x:c>
      <x:c r="G18" s="53" t="str">
        <x:f>IF(E18=1,"是","否")</x:f>
        <x:v>是</x:v>
      </x:c>
      <x:c r="H18" s="53" t="str">
        <x:v>B0BYYLPJQG；B0C58DNX85；B0D4YV8KZR；B0DDCK8JPB；B0DSBHRM8Y；B0FK5PQH4J；B0FKM4RNW2；B0FRMQ5X9R；B0H3ZBMLT1；B0H7HKB2LN</x:v>
      </x:c>
      <x:c r="I18" s="53" t="str">
        <x:f>IF(D18&lt;10,"样本不足，不得作为正式结论","正式样本")</x:f>
        <x:v>正式样本</x:v>
      </x:c>
    </x:row>
    <x:row r="19" ht="28" customHeight="1">
      <x:c r="A19" s="49" t="str">
        <x:v>Gaming Room / Setup</x:v>
      </x:c>
      <x:c r="B19" s="161" t="str">
        <x:v>场景</x:v>
      </x:c>
      <x:c r="C19" s="51" t="n">
        <x:f>COUNTIF('标签介绍度'!$B$2:$B$172,A19)</x:f>
        <x:v>10</x:v>
      </x:c>
      <x:c r="D19" s="51" t="n">
        <x:f>COUNTIF('竞品打标签'!$B$2:$B$31,"有效")</x:f>
        <x:v>10</x:v>
      </x:c>
      <x:c r="E19" s="52" t="n">
        <x:f>IF(D19=0,"",C19/D19)</x:f>
        <x:v>1</x:v>
      </x:c>
      <x:c r="F19" s="49" t="str">
        <x:f>IF(E19=1,"Absolute Consensus / 全竞品共识",IF(E19&gt;=0.8,"高覆盖",IF(E19&gt;=0.5,"中覆盖",IF(E19&gt;=0.2,"低覆盖","极低覆盖"))))</x:f>
        <x:v>Absolute Consensus / 全竞品共识</x:v>
      </x:c>
      <x:c r="G19" s="49" t="str">
        <x:f>IF(E19=1,"是","否")</x:f>
        <x:v>是</x:v>
      </x:c>
      <x:c r="H19" s="49" t="str">
        <x:v>B0BYYLPJQG；B0C58DNX85；B0D4YV8KZR；B0DDCK8JPB；B0DSBHRM8Y；B0FK5PQH4J；B0FKM4RNW2；B0FRMQ5X9R；B0H3ZBMLT1；B0H7HKB2LN</x:v>
      </x:c>
      <x:c r="I19" s="49" t="str">
        <x:f>IF(D19&lt;10,"样本不足，不得作为正式结论","正式样本")</x:f>
        <x:v>正式样本</x:v>
      </x:c>
    </x:row>
    <x:row r="20" ht="28" customHeight="1">
      <x:c r="A20" s="49" t="str">
        <x:v>Office / Workspace</x:v>
      </x:c>
      <x:c r="B20" s="161" t="str">
        <x:v>场景</x:v>
      </x:c>
      <x:c r="C20" s="51" t="n">
        <x:f>COUNTIF('标签介绍度'!$B$2:$B$172,A20)</x:f>
        <x:v>10</x:v>
      </x:c>
      <x:c r="D20" s="51" t="n">
        <x:f>COUNTIF('竞品打标签'!$B$2:$B$31,"有效")</x:f>
        <x:v>10</x:v>
      </x:c>
      <x:c r="E20" s="52" t="n">
        <x:f>IF(D20=0,"",C20/D20)</x:f>
        <x:v>1</x:v>
      </x:c>
      <x:c r="F20" s="49" t="str">
        <x:f>IF(E20=1,"Absolute Consensus / 全竞品共识",IF(E20&gt;=0.8,"高覆盖",IF(E20&gt;=0.5,"中覆盖",IF(E20&gt;=0.2,"低覆盖","极低覆盖"))))</x:f>
        <x:v>Absolute Consensus / 全竞品共识</x:v>
      </x:c>
      <x:c r="G20" s="49" t="str">
        <x:f>IF(E20=1,"是","否")</x:f>
        <x:v>是</x:v>
      </x:c>
      <x:c r="H20" s="49" t="str">
        <x:v>B0BYYLPJQG；B0C58DNX85；B0D4YV8KZR；B0DDCK8JPB；B0DSBHRM8Y；B0FK5PQH4J；B0FKM4RNW2；B0FRMQ5X9R；B0H3ZBMLT1；B0H7HKB2LN</x:v>
      </x:c>
      <x:c r="I20" s="49" t="str">
        <x:f>IF(D20&lt;10,"样本不足，不得作为正式结论","正式样本")</x:f>
        <x:v>正式样本</x:v>
      </x:c>
    </x:row>
    <x:row r="21" ht="28" customHeight="1">
      <x:c r="A21" s="49" t="str">
        <x:v>Home Office</x:v>
      </x:c>
      <x:c r="B21" s="161" t="str">
        <x:v>场景</x:v>
      </x:c>
      <x:c r="C21" s="51" t="n">
        <x:f>COUNTIF('标签介绍度'!$B$2:$B$172,A21)</x:f>
        <x:v>6</x:v>
      </x:c>
      <x:c r="D21" s="51" t="n">
        <x:f>COUNTIF('竞品打标签'!$B$2:$B$31,"有效")</x:f>
        <x:v>10</x:v>
      </x:c>
      <x:c r="E21" s="52" t="n">
        <x:f>IF(D21=0,"",C21/D21)</x:f>
        <x:v>0.6</x:v>
      </x:c>
      <x:c r="F21" s="49" t="str">
        <x:f>IF(E21=1,"Absolute Consensus / 全竞品共识",IF(E21&gt;=0.8,"高覆盖",IF(E21&gt;=0.5,"中覆盖",IF(E21&gt;=0.2,"低覆盖","极低覆盖"))))</x:f>
        <x:v>中覆盖</x:v>
      </x:c>
      <x:c r="G21" s="49" t="str">
        <x:f>IF(E21=1,"是","否")</x:f>
        <x:v>否</x:v>
      </x:c>
      <x:c r="H21" s="49" t="str">
        <x:v>B0DDCK8JPB；B0DSBHRM8Y；B0FKM4RNW2；B0FRMQ5X9R；B0H3ZBMLT1；B0H7HKB2LN</x:v>
      </x:c>
      <x:c r="I21" s="49" t="str">
        <x:f>IF(D21&lt;10,"样本不足，不得作为正式结论","正式样本")</x:f>
        <x:v>正式样本</x:v>
      </x:c>
    </x:row>
    <x:row r="22" ht="28" customHeight="1">
      <x:c r="A22" s="49" t="str">
        <x:v>Streaming / Content Creation Setup</x:v>
      </x:c>
      <x:c r="B22" s="161" t="str">
        <x:v>场景</x:v>
      </x:c>
      <x:c r="C22" s="51" t="n">
        <x:f>COUNTIF('标签介绍度'!$B$2:$B$172,A22)</x:f>
        <x:v>5</x:v>
      </x:c>
      <x:c r="D22" s="51" t="n">
        <x:f>COUNTIF('竞品打标签'!$B$2:$B$31,"有效")</x:f>
        <x:v>10</x:v>
      </x:c>
      <x:c r="E22" s="52" t="n">
        <x:f>IF(D22=0,"",C22/D22)</x:f>
        <x:v>0.5</x:v>
      </x:c>
      <x:c r="F22" s="49" t="str">
        <x:f>IF(E22=1,"Absolute Consensus / 全竞品共识",IF(E22&gt;=0.8,"高覆盖",IF(E22&gt;=0.5,"中覆盖",IF(E22&gt;=0.2,"低覆盖","极低覆盖"))))</x:f>
        <x:v>中覆盖</x:v>
      </x:c>
      <x:c r="G22" s="49" t="str">
        <x:f>IF(E22=1,"是","否")</x:f>
        <x:v>否</x:v>
      </x:c>
      <x:c r="H22" s="49" t="str">
        <x:v>B0BYYLPJQG；B0DSBHRM8Y；B0FKM4RNW2；B0FRMQ5X9R；B0H3ZBMLT1</x:v>
      </x:c>
      <x:c r="I22" s="49" t="str">
        <x:f>IF(D22&lt;10,"样本不足，不得作为正式结论","正式样本")</x:f>
        <x:v>正式样本</x:v>
      </x:c>
    </x:row>
    <x:row r="23" ht="28" customHeight="1">
      <x:c r="A23" s="49" t="str">
        <x:v>Study Area</x:v>
      </x:c>
      <x:c r="B23" s="161" t="str">
        <x:v>场景</x:v>
      </x:c>
      <x:c r="C23" s="51" t="n">
        <x:f>COUNTIF('标签介绍度'!$B$2:$B$172,A23)</x:f>
        <x:v>5</x:v>
      </x:c>
      <x:c r="D23" s="51" t="n">
        <x:f>COUNTIF('竞品打标签'!$B$2:$B$31,"有效")</x:f>
        <x:v>10</x:v>
      </x:c>
      <x:c r="E23" s="52" t="n">
        <x:f>IF(D23=0,"",C23/D23)</x:f>
        <x:v>0.5</x:v>
      </x:c>
      <x:c r="F23" s="49" t="str">
        <x:f>IF(E23=1,"Absolute Consensus / 全竞品共识",IF(E23&gt;=0.8,"高覆盖",IF(E23&gt;=0.5,"中覆盖",IF(E23&gt;=0.2,"低覆盖","极低覆盖"))))</x:f>
        <x:v>中覆盖</x:v>
      </x:c>
      <x:c r="G23" s="49" t="str">
        <x:f>IF(E23=1,"是","否")</x:f>
        <x:v>否</x:v>
      </x:c>
      <x:c r="H23" s="49" t="str">
        <x:v>B0C58DNX85；B0D4YV8KZR；B0DDCK8JPB；B0FKM4RNW2；B0FRMQ5X9R</x:v>
      </x:c>
      <x:c r="I23" s="49" t="str">
        <x:f>IF(D23&lt;10,"样本不足，不得作为正式结论","正式样本")</x:f>
        <x:v>正式样本</x:v>
      </x:c>
    </x:row>
    <x:row r="24" ht="28" customHeight="1">
      <x:c r="A24" s="49" t="str">
        <x:v>Bedroom</x:v>
      </x:c>
      <x:c r="B24" s="161" t="str">
        <x:v>场景</x:v>
      </x:c>
      <x:c r="C24" s="51" t="n">
        <x:f>COUNTIF('标签介绍度'!$B$2:$B$172,A24)</x:f>
        <x:v>4</x:v>
      </x:c>
      <x:c r="D24" s="51" t="n">
        <x:f>COUNTIF('竞品打标签'!$B$2:$B$31,"有效")</x:f>
        <x:v>10</x:v>
      </x:c>
      <x:c r="E24" s="52" t="n">
        <x:f>IF(D24=0,"",C24/D24)</x:f>
        <x:v>0.4</x:v>
      </x:c>
      <x:c r="F24" s="49" t="str">
        <x:f>IF(E24=1,"Absolute Consensus / 全竞品共识",IF(E24&gt;=0.8,"高覆盖",IF(E24&gt;=0.5,"中覆盖",IF(E24&gt;=0.2,"低覆盖","极低覆盖"))))</x:f>
        <x:v>低覆盖</x:v>
      </x:c>
      <x:c r="G24" s="49" t="str">
        <x:f>IF(E24=1,"是","否")</x:f>
        <x:v>否</x:v>
      </x:c>
      <x:c r="H24" s="49" t="str">
        <x:v>B0C58DNX85；B0DDCK8JPB；B0H3ZBMLT1；B0H7HKB2LN</x:v>
      </x:c>
      <x:c r="I24" s="49" t="str">
        <x:f>IF(D24&lt;10,"样本不足，不得作为正式结论","正式样本")</x:f>
        <x:v>正式样本</x:v>
      </x:c>
    </x:row>
    <x:row r="25" ht="28" customHeight="1">
      <x:c r="A25" s="49" t="str">
        <x:v>Late-Night Use</x:v>
      </x:c>
      <x:c r="B25" s="161" t="str">
        <x:v>场景</x:v>
      </x:c>
      <x:c r="C25" s="51" t="n">
        <x:f>COUNTIF('标签介绍度'!$B$2:$B$172,A25)</x:f>
        <x:v>1</x:v>
      </x:c>
      <x:c r="D25" s="51" t="n">
        <x:f>COUNTIF('竞品打标签'!$B$2:$B$31,"有效")</x:f>
        <x:v>10</x:v>
      </x:c>
      <x:c r="E25" s="52" t="n">
        <x:f>IF(D25=0,"",C25/D25)</x:f>
        <x:v>0.1</x:v>
      </x:c>
      <x:c r="F25" s="49" t="str">
        <x:f>IF(E25=1,"Absolute Consensus / 全竞品共识",IF(E25&gt;=0.8,"高覆盖",IF(E25&gt;=0.5,"中覆盖",IF(E25&gt;=0.2,"低覆盖","极低覆盖"))))</x:f>
        <x:v>极低覆盖</x:v>
      </x:c>
      <x:c r="G25" s="49" t="str">
        <x:f>IF(E25=1,"是","否")</x:f>
        <x:v>否</x:v>
      </x:c>
      <x:c r="H25" s="49" t="str">
        <x:v>B0BYYLPJQG</x:v>
      </x:c>
      <x:c r="I25" s="49" t="str">
        <x:f>IF(D25&lt;10,"样本不足，不得作为正式结论","正式样本")</x:f>
        <x:v>正式样本</x:v>
      </x:c>
    </x:row>
    <x:row r="26" ht="28" customHeight="1">
      <x:c r="A26" s="49" t="str">
        <x:v>Living Room</x:v>
      </x:c>
      <x:c r="B26" s="161" t="str">
        <x:v>场景</x:v>
      </x:c>
      <x:c r="C26" s="51" t="n">
        <x:f>COUNTIF('标签介绍度'!$B$2:$B$172,A26)</x:f>
        <x:v>1</x:v>
      </x:c>
      <x:c r="D26" s="51" t="n">
        <x:f>COUNTIF('竞品打标签'!$B$2:$B$31,"有效")</x:f>
        <x:v>10</x:v>
      </x:c>
      <x:c r="E26" s="52" t="n">
        <x:f>IF(D26=0,"",C26/D26)</x:f>
        <x:v>0.1</x:v>
      </x:c>
      <x:c r="F26" s="49" t="str">
        <x:f>IF(E26=1,"Absolute Consensus / 全竞品共识",IF(E26&gt;=0.8,"高覆盖",IF(E26&gt;=0.5,"中覆盖",IF(E26&gt;=0.2,"低覆盖","极低覆盖"))))</x:f>
        <x:v>极低覆盖</x:v>
      </x:c>
      <x:c r="G26" s="49" t="str">
        <x:f>IF(E26=1,"是","否")</x:f>
        <x:v>否</x:v>
      </x:c>
      <x:c r="H26" s="49" t="str">
        <x:v>B0C58DNX85</x:v>
      </x:c>
      <x:c r="I26" s="49" t="str">
        <x:f>IF(D26&lt;10,"样本不足，不得作为正式结论","正式样本")</x:f>
        <x:v>正式样本</x:v>
      </x:c>
    </x:row>
    <x:row r="27" ht="28" customHeight="1">
      <x:c r="A27" s="61" t="str">
        <x:v>Gaming</x:v>
      </x:c>
      <x:c r="B27" s="163" t="str">
        <x:v>用途</x:v>
      </x:c>
      <x:c r="C27" s="63" t="n">
        <x:f>COUNTIF('标签介绍度'!$B$2:$B$172,A27)</x:f>
        <x:v>10</x:v>
      </x:c>
      <x:c r="D27" s="63" t="n">
        <x:f>COUNTIF('竞品打标签'!$B$2:$B$31,"有效")</x:f>
        <x:v>10</x:v>
      </x:c>
      <x:c r="E27" s="64" t="n">
        <x:f>IF(D27=0,"",C27/D27)</x:f>
        <x:v>1</x:v>
      </x:c>
      <x:c r="F27" s="61" t="str">
        <x:f>IF(E27=1,"Absolute Consensus / 全竞品共识",IF(E27&gt;=0.8,"高覆盖",IF(E27&gt;=0.5,"中覆盖",IF(E27&gt;=0.2,"低覆盖","极低覆盖"))))</x:f>
        <x:v>Absolute Consensus / 全竞品共识</x:v>
      </x:c>
      <x:c r="G27" s="61" t="str">
        <x:f>IF(E27=1,"是","否")</x:f>
        <x:v>是</x:v>
      </x:c>
      <x:c r="H27" s="61" t="str">
        <x:v>B0BYYLPJQG；B0C58DNX85；B0D4YV8KZR；B0DDCK8JPB；B0DSBHRM8Y；B0FK5PQH4J；B0FKM4RNW2；B0FRMQ5X9R；B0H3ZBMLT1；B0H7HKB2LN</x:v>
      </x:c>
      <x:c r="I27" s="61" t="str">
        <x:f>IF(D27&lt;10,"样本不足，不得作为正式结论","正式样本")</x:f>
        <x:v>正式样本</x:v>
      </x:c>
    </x:row>
    <x:row r="28" ht="28" customHeight="1">
      <x:c r="A28" s="57" t="str">
        <x:v>Relaxing</x:v>
      </x:c>
      <x:c r="B28" s="165" t="str">
        <x:v>用途</x:v>
      </x:c>
      <x:c r="C28" s="59" t="n">
        <x:f>COUNTIF('标签介绍度'!$B$2:$B$172,A28)</x:f>
        <x:v>10</x:v>
      </x:c>
      <x:c r="D28" s="59" t="n">
        <x:f>COUNTIF('竞品打标签'!$B$2:$B$31,"有效")</x:f>
        <x:v>10</x:v>
      </x:c>
      <x:c r="E28" s="60" t="n">
        <x:f>IF(D28=0,"",C28/D28)</x:f>
        <x:v>1</x:v>
      </x:c>
      <x:c r="F28" s="57" t="str">
        <x:f>IF(E28=1,"Absolute Consensus / 全竞品共识",IF(E28&gt;=0.8,"高覆盖",IF(E28&gt;=0.5,"中覆盖",IF(E28&gt;=0.2,"低覆盖","极低覆盖"))))</x:f>
        <x:v>Absolute Consensus / 全竞品共识</x:v>
      </x:c>
      <x:c r="G28" s="57" t="str">
        <x:f>IF(E28=1,"是","否")</x:f>
        <x:v>是</x:v>
      </x:c>
      <x:c r="H28" s="57" t="str">
        <x:v>B0BYYLPJQG；B0C58DNX85；B0D4YV8KZR；B0DDCK8JPB；B0DSBHRM8Y；B0FK5PQH4J；B0FKM4RNW2；B0FRMQ5X9R；B0H3ZBMLT1；B0H7HKB2LN</x:v>
      </x:c>
      <x:c r="I28" s="57" t="str">
        <x:f>IF(D28&lt;10,"样本不足，不得作为正式结论","正式样本")</x:f>
        <x:v>正式样本</x:v>
      </x:c>
    </x:row>
    <x:row r="29" ht="28" customHeight="1">
      <x:c r="A29" s="57" t="str">
        <x:v>Work</x:v>
      </x:c>
      <x:c r="B29" s="165" t="str">
        <x:v>用途</x:v>
      </x:c>
      <x:c r="C29" s="59" t="n">
        <x:f>COUNTIF('标签介绍度'!$B$2:$B$172,A29)</x:f>
        <x:v>10</x:v>
      </x:c>
      <x:c r="D29" s="59" t="n">
        <x:f>COUNTIF('竞品打标签'!$B$2:$B$31,"有效")</x:f>
        <x:v>10</x:v>
      </x:c>
      <x:c r="E29" s="60" t="n">
        <x:f>IF(D29=0,"",C29/D29)</x:f>
        <x:v>1</x:v>
      </x:c>
      <x:c r="F29" s="57" t="str">
        <x:f>IF(E29=1,"Absolute Consensus / 全竞品共识",IF(E29&gt;=0.8,"高覆盖",IF(E29&gt;=0.5,"中覆盖",IF(E29&gt;=0.2,"低覆盖","极低覆盖"))))</x:f>
        <x:v>Absolute Consensus / 全竞品共识</x:v>
      </x:c>
      <x:c r="G29" s="57" t="str">
        <x:f>IF(E29=1,"是","否")</x:f>
        <x:v>是</x:v>
      </x:c>
      <x:c r="H29" s="57" t="str">
        <x:v>B0BYYLPJQG；B0C58DNX85；B0D4YV8KZR；B0DDCK8JPB；B0DSBHRM8Y；B0FK5PQH4J；B0FKM4RNW2；B0FRMQ5X9R；B0H3ZBMLT1；B0H7HKB2LN</x:v>
      </x:c>
      <x:c r="I29" s="57" t="str">
        <x:f>IF(D29&lt;10,"样本不足，不得作为正式结论","正式样本")</x:f>
        <x:v>正式样本</x:v>
      </x:c>
    </x:row>
    <x:row r="30" ht="28" customHeight="1">
      <x:c r="A30" s="57" t="str">
        <x:v>Computer Use</x:v>
      </x:c>
      <x:c r="B30" s="165" t="str">
        <x:v>用途</x:v>
      </x:c>
      <x:c r="C30" s="59" t="n">
        <x:f>COUNTIF('标签介绍度'!$B$2:$B$172,A30)</x:f>
        <x:v>8</x:v>
      </x:c>
      <x:c r="D30" s="59" t="n">
        <x:f>COUNTIF('竞品打标签'!$B$2:$B$31,"有效")</x:f>
        <x:v>10</x:v>
      </x:c>
      <x:c r="E30" s="60" t="n">
        <x:f>IF(D30=0,"",C30/D30)</x:f>
        <x:v>0.8</x:v>
      </x:c>
      <x:c r="F30" s="57" t="str">
        <x:f>IF(E30=1,"Absolute Consensus / 全竞品共识",IF(E30&gt;=0.8,"高覆盖",IF(E30&gt;=0.5,"中覆盖",IF(E30&gt;=0.2,"低覆盖","极低覆盖"))))</x:f>
        <x:v>高覆盖</x:v>
      </x:c>
      <x:c r="G30" s="57" t="str">
        <x:f>IF(E30=1,"是","否")</x:f>
        <x:v>否</x:v>
      </x:c>
      <x:c r="H30" s="57" t="str">
        <x:v>B0BYYLPJQG；B0D4YV8KZR；B0DDCK8JPB；B0DSBHRM8Y；B0FK5PQH4J；B0FRMQ5X9R；B0H3ZBMLT1；B0H7HKB2LN</x:v>
      </x:c>
      <x:c r="I30" s="57" t="str">
        <x:f>IF(D30&lt;10,"样本不足，不得作为正式结论","正式样本")</x:f>
        <x:v>正式样本</x:v>
      </x:c>
    </x:row>
    <x:row r="31" ht="28" customHeight="1">
      <x:c r="A31" s="57" t="str">
        <x:v>Reading</x:v>
      </x:c>
      <x:c r="B31" s="165" t="str">
        <x:v>用途</x:v>
      </x:c>
      <x:c r="C31" s="59" t="n">
        <x:f>COUNTIF('标签介绍度'!$B$2:$B$172,A31)</x:f>
        <x:v>7</x:v>
      </x:c>
      <x:c r="D31" s="59" t="n">
        <x:f>COUNTIF('竞品打标签'!$B$2:$B$31,"有效")</x:f>
        <x:v>10</x:v>
      </x:c>
      <x:c r="E31" s="60" t="n">
        <x:f>IF(D31=0,"",C31/D31)</x:f>
        <x:v>0.7</x:v>
      </x:c>
      <x:c r="F31" s="57" t="str">
        <x:f>IF(E31=1,"Absolute Consensus / 全竞品共识",IF(E31&gt;=0.8,"高覆盖",IF(E31&gt;=0.5,"中覆盖",IF(E31&gt;=0.2,"低覆盖","极低覆盖"))))</x:f>
        <x:v>中覆盖</x:v>
      </x:c>
      <x:c r="G31" s="57" t="str">
        <x:f>IF(E31=1,"是","否")</x:f>
        <x:v>否</x:v>
      </x:c>
      <x:c r="H31" s="57" t="str">
        <x:v>B0C58DNX85；B0D4YV8KZR；B0DDCK8JPB；B0FK5PQH4J；B0FKM4RNW2；B0FRMQ5X9R；B0H7HKB2LN</x:v>
      </x:c>
      <x:c r="I31" s="57" t="str">
        <x:f>IF(D31&lt;10,"样本不足，不得作为正式结论","正式样本")</x:f>
        <x:v>正式样本</x:v>
      </x:c>
    </x:row>
    <x:row r="32" ht="28" customHeight="1">
      <x:c r="A32" s="57" t="str">
        <x:v>Napping</x:v>
      </x:c>
      <x:c r="B32" s="165" t="str">
        <x:v>用途</x:v>
      </x:c>
      <x:c r="C32" s="59" t="n">
        <x:f>COUNTIF('标签介绍度'!$B$2:$B$172,A32)</x:f>
        <x:v>2</x:v>
      </x:c>
      <x:c r="D32" s="59" t="n">
        <x:f>COUNTIF('竞品打标签'!$B$2:$B$31,"有效")</x:f>
        <x:v>10</x:v>
      </x:c>
      <x:c r="E32" s="60" t="n">
        <x:f>IF(D32=0,"",C32/D32)</x:f>
        <x:v>0.2</x:v>
      </x:c>
      <x:c r="F32" s="57" t="str">
        <x:f>IF(E32=1,"Absolute Consensus / 全竞品共识",IF(E32&gt;=0.8,"高覆盖",IF(E32&gt;=0.5,"中覆盖",IF(E32&gt;=0.2,"低覆盖","极低覆盖"))))</x:f>
        <x:v>低覆盖</x:v>
      </x:c>
      <x:c r="G32" s="57" t="str">
        <x:f>IF(E32=1,"是","否")</x:f>
        <x:v>否</x:v>
      </x:c>
      <x:c r="H32" s="57" t="str">
        <x:v>B0BYYLPJQG；B0H3ZBMLT1</x:v>
      </x:c>
      <x:c r="I32" s="57" t="str">
        <x:f>IF(D32&lt;10,"样本不足，不得作为正式结论","正式样本")</x:f>
        <x:v>正式样本</x:v>
      </x:c>
    </x:row>
    <x:row r="33" ht="28" customHeight="1">
      <x:c r="A33" s="57" t="str">
        <x:v>Streaming / Content Creation</x:v>
      </x:c>
      <x:c r="B33" s="165" t="str">
        <x:v>用途</x:v>
      </x:c>
      <x:c r="C33" s="59" t="n">
        <x:f>COUNTIF('标签介绍度'!$B$2:$B$172,A33)</x:f>
        <x:v>2</x:v>
      </x:c>
      <x:c r="D33" s="59" t="n">
        <x:f>COUNTIF('竞品打标签'!$B$2:$B$31,"有效")</x:f>
        <x:v>10</x:v>
      </x:c>
      <x:c r="E33" s="60" t="n">
        <x:f>IF(D33=0,"",C33/D33)</x:f>
        <x:v>0.2</x:v>
      </x:c>
      <x:c r="F33" s="57" t="str">
        <x:f>IF(E33=1,"Absolute Consensus / 全竞品共识",IF(E33&gt;=0.8,"高覆盖",IF(E33&gt;=0.5,"中覆盖",IF(E33&gt;=0.2,"低覆盖","极低覆盖"))))</x:f>
        <x:v>低覆盖</x:v>
      </x:c>
      <x:c r="G33" s="57" t="str">
        <x:f>IF(E33=1,"是","否")</x:f>
        <x:v>否</x:v>
      </x:c>
      <x:c r="H33" s="57" t="str">
        <x:v>B0BYYLPJQG；B0FRMQ5X9R</x:v>
      </x:c>
      <x:c r="I33" s="57" t="str">
        <x:f>IF(D33&lt;10,"样本不足，不得作为正式结论","正式样本")</x:f>
        <x:v>正式样本</x:v>
      </x:c>
    </x:row>
    <x:row r="34" ht="28" customHeight="1">
      <x:c r="A34" s="57" t="str">
        <x:v>Study</x:v>
      </x:c>
      <x:c r="B34" s="165" t="str">
        <x:v>用途</x:v>
      </x:c>
      <x:c r="C34" s="59" t="n">
        <x:f>COUNTIF('标签介绍度'!$B$2:$B$172,A34)</x:f>
        <x:v>2</x:v>
      </x:c>
      <x:c r="D34" s="59" t="n">
        <x:f>COUNTIF('竞品打标签'!$B$2:$B$31,"有效")</x:f>
        <x:v>10</x:v>
      </x:c>
      <x:c r="E34" s="60" t="n">
        <x:f>IF(D34=0,"",C34/D34)</x:f>
        <x:v>0.2</x:v>
      </x:c>
      <x:c r="F34" s="57" t="str">
        <x:f>IF(E34=1,"Absolute Consensus / 全竞品共识",IF(E34&gt;=0.8,"高覆盖",IF(E34&gt;=0.5,"中覆盖",IF(E34&gt;=0.2,"低覆盖","极低覆盖"))))</x:f>
        <x:v>低覆盖</x:v>
      </x:c>
      <x:c r="G34" s="57" t="str">
        <x:f>IF(E34=1,"是","否")</x:f>
        <x:v>否</x:v>
      </x:c>
      <x:c r="H34" s="57" t="str">
        <x:v>B0C58DNX85；B0D4YV8KZR</x:v>
      </x:c>
      <x:c r="I34" s="57" t="str">
        <x:f>IF(D34&lt;10,"样本不足，不得作为正式结论","正式样本")</x:f>
        <x:v>正式样本</x:v>
      </x:c>
    </x:row>
    <x:row r="35" ht="28" customHeight="1">
      <x:c r="A35" s="57" t="str">
        <x:v>Back Tension Relief</x:v>
      </x:c>
      <x:c r="B35" s="165" t="str">
        <x:v>用途</x:v>
      </x:c>
      <x:c r="C35" s="59" t="n">
        <x:f>COUNTIF('标签介绍度'!$B$2:$B$172,A35)</x:f>
        <x:v>1</x:v>
      </x:c>
      <x:c r="D35" s="59" t="n">
        <x:f>COUNTIF('竞品打标签'!$B$2:$B$31,"有效")</x:f>
        <x:v>10</x:v>
      </x:c>
      <x:c r="E35" s="60" t="n">
        <x:f>IF(D35=0,"",C35/D35)</x:f>
        <x:v>0.1</x:v>
      </x:c>
      <x:c r="F35" s="57" t="str">
        <x:f>IF(E35=1,"Absolute Consensus / 全竞品共识",IF(E35&gt;=0.8,"高覆盖",IF(E35&gt;=0.5,"中覆盖",IF(E35&gt;=0.2,"低覆盖","极低覆盖"))))</x:f>
        <x:v>极低覆盖</x:v>
      </x:c>
      <x:c r="G35" s="57" t="str">
        <x:f>IF(E35=1,"是","否")</x:f>
        <x:v>否</x:v>
      </x:c>
      <x:c r="H35" s="57" t="str">
        <x:v>B0FK5PQH4J</x:v>
      </x:c>
      <x:c r="I35" s="57" t="str">
        <x:f>IF(D35&lt;10,"样本不足，不得作为正式结论","正式样本")</x:f>
        <x:v>正式样本</x:v>
      </x:c>
    </x:row>
    <x:row r="36" ht="28" customHeight="1">
      <x:c r="A36" s="69" t="str">
        <x:v>Long Hours</x:v>
      </x:c>
      <x:c r="B36" s="167" t="str">
        <x:v>频率</x:v>
      </x:c>
      <x:c r="C36" s="71" t="n">
        <x:f>COUNTIF('标签介绍度'!$B$2:$B$172,A36)</x:f>
        <x:v>4</x:v>
      </x:c>
      <x:c r="D36" s="71" t="n">
        <x:f>COUNTIF('竞品打标签'!$B$2:$B$31,"有效")</x:f>
        <x:v>10</x:v>
      </x:c>
      <x:c r="E36" s="72" t="n">
        <x:f>IF(D36=0,"",C36/D36)</x:f>
        <x:v>0.4</x:v>
      </x:c>
      <x:c r="F36" s="69" t="str">
        <x:f>IF(E36=1,"Absolute Consensus / 全竞品共识",IF(E36&gt;=0.8,"高覆盖",IF(E36&gt;=0.5,"中覆盖",IF(E36&gt;=0.2,"低覆盖","极低覆盖"))))</x:f>
        <x:v>低覆盖</x:v>
      </x:c>
      <x:c r="G36" s="69" t="str">
        <x:f>IF(E36=1,"是","否")</x:f>
        <x:v>否</x:v>
      </x:c>
      <x:c r="H36" s="69" t="str">
        <x:v>B0BYYLPJQG；B0DSBHRM8Y；B0FK5PQH4J；B0H7HKB2LN</x:v>
      </x:c>
      <x:c r="I36" s="69" t="str">
        <x:f>IF(D36&lt;10,"样本不足，不得作为正式结论","正式样本")</x:f>
        <x:v>正式样本</x:v>
      </x:c>
    </x:row>
    <x:row r="37" ht="28" customHeight="1">
      <x:c r="A37" s="65" t="str">
        <x:v>All-Day Use</x:v>
      </x:c>
      <x:c r="B37" s="169" t="str">
        <x:v>频率</x:v>
      </x:c>
      <x:c r="C37" s="67" t="n">
        <x:f>COUNTIF('标签介绍度'!$B$2:$B$172,A37)</x:f>
        <x:v>3</x:v>
      </x:c>
      <x:c r="D37" s="67" t="n">
        <x:f>COUNTIF('竞品打标签'!$B$2:$B$31,"有效")</x:f>
        <x:v>10</x:v>
      </x:c>
      <x:c r="E37" s="68" t="n">
        <x:f>IF(D37=0,"",C37/D37)</x:f>
        <x:v>0.3</x:v>
      </x:c>
      <x:c r="F37" s="65" t="str">
        <x:f>IF(E37=1,"Absolute Consensus / 全竞品共识",IF(E37&gt;=0.8,"高覆盖",IF(E37&gt;=0.5,"中覆盖",IF(E37&gt;=0.2,"低覆盖","极低覆盖"))))</x:f>
        <x:v>低覆盖</x:v>
      </x:c>
      <x:c r="G37" s="65" t="str">
        <x:f>IF(E37=1,"是","否")</x:f>
        <x:v>否</x:v>
      </x:c>
      <x:c r="H37" s="65" t="str">
        <x:v>B0DDCK8JPB；B0FK5PQH4J；B0FKM4RNW2</x:v>
      </x:c>
      <x:c r="I37" s="65" t="str">
        <x:f>IF(D37&lt;10,"样本不足，不得作为正式结论","正式样本")</x:f>
        <x:v>正式样本</x:v>
      </x:c>
    </x:row>
    <x:row r="38" ht="28" customHeight="1">
      <x:c r="A38" s="65" t="str">
        <x:v>Extended Sessions</x:v>
      </x:c>
      <x:c r="B38" s="169" t="str">
        <x:v>频率</x:v>
      </x:c>
      <x:c r="C38" s="67" t="n">
        <x:f>COUNTIF('标签介绍度'!$B$2:$B$172,A38)</x:f>
        <x:v>1</x:v>
      </x:c>
      <x:c r="D38" s="67" t="n">
        <x:f>COUNTIF('竞品打标签'!$B$2:$B$31,"有效")</x:f>
        <x:v>10</x:v>
      </x:c>
      <x:c r="E38" s="68" t="n">
        <x:f>IF(D38=0,"",C38/D38)</x:f>
        <x:v>0.1</x:v>
      </x:c>
      <x:c r="F38" s="65" t="str">
        <x:f>IF(E38=1,"Absolute Consensus / 全竞品共识",IF(E38&gt;=0.8,"高覆盖",IF(E38&gt;=0.5,"中覆盖",IF(E38&gt;=0.2,"低覆盖","极低覆盖"))))</x:f>
        <x:v>极低覆盖</x:v>
      </x:c>
      <x:c r="G38" s="65" t="str">
        <x:f>IF(E38=1,"是","否")</x:f>
        <x:v>否</x:v>
      </x:c>
      <x:c r="H38" s="65" t="str">
        <x:v>B0FKM4RNW2</x:v>
      </x:c>
      <x:c r="I38" s="65" t="str">
        <x:f>IF(D38&lt;10,"样本不足，不得作为正式结论","正式样本")</x:f>
        <x:v>正式样本</x:v>
      </x:c>
    </x:row>
  </x:sheetData>
  <x:pageMargins left="0.7" right="0.7" top="0.75" bottom="0.75" header="0.3" footer="0.3"/>
  <x:tableParts count="1">
    <x:tablePart xmlns:r="http://schemas.openxmlformats.org/officeDocument/2006/relationships" r:id="Raeb9d849beca4a8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10" hidden="0" customWidth="1"/>
    <x:col min="4" max="4" width="12" hidden="0" customWidth="1"/>
    <x:col min="5" max="5" width="16" hidden="0" customWidth="1"/>
    <x:col min="6" max="6" width="16" hidden="0" customWidth="1"/>
    <x:col min="7" max="7" width="14" hidden="0" customWidth="1"/>
    <x:col min="8" max="8" width="14" hidden="0" customWidth="1"/>
    <x:col min="9" max="9" width="16" hidden="0" customWidth="1"/>
    <x:col min="10" max="10" width="14" hidden="0" customWidth="1"/>
    <x:col min="11" max="11" width="14" hidden="0" customWidth="1"/>
    <x:col min="12" max="12" width="14" hidden="0" customWidth="1"/>
    <x:col min="13" max="13" width="70" hidden="0" customWidth="1"/>
    <x:col min="14" max="14" width="36" hidden="0" customWidth="1"/>
    <x:col min="15" max="15" width="12" hidden="0" customWidth="1"/>
  </x:cols>
  <x:sheetData>
    <x:row r="1" ht="40" customHeight="1">
      <x:c r="A1" s="8" t="str">
        <x:v>ASIN</x:v>
      </x:c>
      <x:c r="B1" s="7" t="str">
        <x:v>标签</x:v>
      </x:c>
      <x:c r="C1" s="7" t="str">
        <x:v>标签类型</x:v>
      </x:c>
      <x:c r="D1" s="7" t="str">
        <x:v>Title 命中（0/1）</x:v>
      </x:c>
      <x:c r="E1" s="7" t="str">
        <x:v>Image 2–4 命中（0/1）</x:v>
      </x:c>
      <x:c r="F1" s="7" t="str">
        <x:v>Bullet 1–2 命中（0/1）</x:v>
      </x:c>
      <x:c r="G1" s="7" t="str">
        <x:v>A+ 核心命中（0/1）</x:v>
      </x:c>
      <x:c r="H1" s="7" t="str">
        <x:v>后部副图命中（0/1）</x:v>
      </x:c>
      <x:c r="I1" s="7" t="str">
        <x:v>Bullet 3–5 命中（0/1）</x:v>
      </x:c>
      <x:c r="J1" s="7" t="str">
        <x:v>A+ 其他命中（0/1）</x:v>
      </x:c>
      <x:c r="K1" s="7" t="str">
        <x:v>Expression Score</x:v>
      </x:c>
      <x:c r="L1" s="7" t="str">
        <x:v>单竞品介绍等级</x:v>
      </x:c>
      <x:c r="M1" s="7" t="str">
        <x:v>原始证据摘要</x:v>
      </x:c>
      <x:c r="N1" s="7" t="str">
        <x:v>Amazon 来源 URL</x:v>
      </x:c>
      <x:c r="O1" s="7" t="str">
        <x:v>抓取状态</x:v>
      </x:c>
    </x:row>
    <x:row r="2" ht="48" customHeight="1">
      <x:c r="A2" s="203" t="str">
        <x:v>B0BYYLPJQG</x:v>
      </x:c>
      <x:c r="B2" s="123" t="str">
        <x:v>Gamers</x:v>
      </x:c>
      <x:c r="C2" s="129" t="str">
        <x:v>人群</x:v>
      </x:c>
      <x:c r="D2" s="124" t="n">
        <x:v>1</x:v>
      </x:c>
      <x:c r="E2" s="124" t="n">
        <x:v>1</x:v>
      </x:c>
      <x:c r="F2" s="124" t="n">
        <x:v>1</x:v>
      </x:c>
      <x:c r="G2" s="124" t="n">
        <x:v>1</x:v>
      </x:c>
      <x:c r="H2" s="124" t="n">
        <x:v>1</x:v>
      </x:c>
      <x:c r="I2" s="124" t="n">
        <x:v>1</x:v>
      </x:c>
      <x:c r="J2" s="124" t="n">
        <x:v>1</x:v>
      </x:c>
      <x:c r="K2" s="125" t="n">
        <x:f>D2*2+E2*2+F2*2+G2*2+H2+I2+J2</x:f>
        <x:v>11</x:v>
      </x:c>
      <x:c r="L2" s="126" t="str">
        <x:f>IF(K2&gt;=6,"高介绍",IF(K2&gt;=3,"中介绍",IF(K2&gt;=1,"低介绍","未介绍")))</x:f>
        <x:v>高介绍</x:v>
      </x:c>
      <x:c r="M2" s="123" t="str">
        <x:v>Title: Dowinx Gaming Chair Breathable PU Leather Gamer Chair with Footrest Massage Lumbar Support, Big and Tall Ergonomic Reclining Computer Chair with Pocket Sprin | Image 2–4: 商品副图视觉/文案明确命中 | Bullet 1–2: ort for the spine. Whether it is for office, gaming, or leisure, it can help you sit comfortably Comfy Headrest and Massage Lumbar Support: This heavy duty game chair is equipped with adjustable  | A+核心: gaming chair | 后部副图: 商品副图视觉/文案明确命中 | Bullet 3–5: Versatile Design for Every Need: The desk gaming chair's backrest reclines from 90° to 135°, ideal for focused work or gaming, leisurely media browsing, or even flat-out napping. In addition,  | A+其他: gaming chair | 1 | gaming chair | Previous page Massage Lumbar Support The lumbar pillow with a USB cable provides a relaxing massage when you feel ti</x:v>
      </x:c>
      <x:c r="N2" s="123" t="str">
        <x:v>https://www.amazon.com/dp/B0BYYLPJQG</x:v>
      </x:c>
      <x:c r="O2" s="123" t="str">
        <x:v>已验证</x:v>
      </x:c>
    </x:row>
    <x:row r="3" ht="48" customHeight="1">
      <x:c r="A3" s="204" t="str">
        <x:v>B0BYYLPJQG</x:v>
      </x:c>
      <x:c r="B3" s="130" t="str">
        <x:v>Relaxation Seekers</x:v>
      </x:c>
      <x:c r="C3" s="136" t="str">
        <x:v>人群</x:v>
      </x:c>
      <x:c r="D3" s="131" t="n">
        <x:v>1</x:v>
      </x:c>
      <x:c r="E3" s="131" t="n">
        <x:v>0</x:v>
      </x:c>
      <x:c r="F3" s="131" t="n">
        <x:v>1</x:v>
      </x:c>
      <x:c r="G3" s="131" t="n">
        <x:v>0</x:v>
      </x:c>
      <x:c r="H3" s="131" t="n">
        <x:v>0</x:v>
      </x:c>
      <x:c r="I3" s="131" t="n">
        <x:v>1</x:v>
      </x:c>
      <x:c r="J3" s="131" t="n">
        <x:v>1</x:v>
      </x:c>
      <x:c r="K3" s="132" t="n">
        <x:f>D3*2+E3*2+F3*2+G3*2+H3+I3+J3</x:f>
        <x:v>6</x:v>
      </x:c>
      <x:c r="L3" s="133" t="str">
        <x:f>IF(K3&gt;=6,"高介绍",IF(K3&gt;=3,"中介绍",IF(K3&gt;=1,"低介绍","未介绍")))</x:f>
        <x:v>高介绍</x:v>
      </x:c>
      <x:c r="M3" s="130" t="str">
        <x:v>Title: r Breathable PU Leather Gamer Chair with Footrest Massage Lumbar Support, Big and Tall Ergonomic Reclining Computer Chair with Pocket Spring Cushion for Adults Teens (Brown) | Bullet 1–2: e, it can help you sit comfortably Comfy Headrest and Massage Lumbar Support: This heavy duty game chair is equipped with adjustable headrests and massage lumbar support, allowing the headrest to | Bullet 3–5:  for Every Need: The desk gaming chair's backrest reclines from 90° to 135°, ideal for focused work or gaming, leisurely media browsing, or even flat-out napping. In addition, its 360° smooth-rol | A+其他: he lumbar pillow with a USB cable provides a relaxing massage when you feel tired. Patent Linkage Armrest We have carefully analyzed the reasons for the instability of linkage armrests , and afte</x:v>
      </x:c>
      <x:c r="N3" s="130" t="str">
        <x:v>https://www.amazon.com/dp/B0BYYLPJQG</x:v>
      </x:c>
      <x:c r="O3" s="130" t="str">
        <x:v>已验证</x:v>
      </x:c>
    </x:row>
    <x:row r="4" ht="48" customHeight="1">
      <x:c r="A4" s="204" t="str">
        <x:v>B0BYYLPJQG</x:v>
      </x:c>
      <x:c r="B4" s="130" t="str">
        <x:v>Big &amp; Tall Users</x:v>
      </x:c>
      <x:c r="C4" s="136" t="str">
        <x:v>人群</x:v>
      </x:c>
      <x:c r="D4" s="131" t="n">
        <x:v>1</x:v>
      </x:c>
      <x:c r="E4" s="131" t="n">
        <x:v>1</x:v>
      </x:c>
      <x:c r="F4" s="131" t="n">
        <x:v>0</x:v>
      </x:c>
      <x:c r="G4" s="131" t="n">
        <x:v>0</x:v>
      </x:c>
      <x:c r="H4" s="131" t="n">
        <x:v>0</x:v>
      </x:c>
      <x:c r="I4" s="131" t="n">
        <x:v>0</x:v>
      </x:c>
      <x:c r="J4" s="131" t="n">
        <x:v>0</x:v>
      </x:c>
      <x:c r="K4" s="132" t="n">
        <x:f>D4*2+E4*2+F4*2+G4*2+H4+I4+J4</x:f>
        <x:v>4</x:v>
      </x:c>
      <x:c r="L4" s="133" t="str">
        <x:f>IF(K4&gt;=6,"高介绍",IF(K4&gt;=3,"中介绍",IF(K4&gt;=1,"低介绍","未介绍")))</x:f>
        <x:v>中介绍</x:v>
      </x:c>
      <x:c r="M4" s="130" t="str">
        <x:v>Title:  Chair with Footrest Massage Lumbar Support, Big and Tall Ergonomic Reclining Computer Chair with Pocket Spring Cushion for Adults Teens (Brown) | Image 2–4: 商品副图视觉/文案明确命中</x:v>
      </x:c>
      <x:c r="N4" s="130" t="str">
        <x:v>https://www.amazon.com/dp/B0BYYLPJQG</x:v>
      </x:c>
      <x:c r="O4" s="130" t="str">
        <x:v>已验证</x:v>
      </x:c>
    </x:row>
    <x:row r="5" ht="48" customHeight="1">
      <x:c r="A5" s="204" t="str">
        <x:v>B0BYYLPJQG</x:v>
      </x:c>
      <x:c r="B5" s="130" t="str">
        <x:v>Comfort Seekers</x:v>
      </x:c>
      <x:c r="C5" s="136" t="str">
        <x:v>人群</x:v>
      </x:c>
      <x:c r="D5" s="131" t="n">
        <x:v>0</x:v>
      </x:c>
      <x:c r="E5" s="131" t="n">
        <x:v>1</x:v>
      </x:c>
      <x:c r="F5" s="131" t="n">
        <x:v>1</x:v>
      </x:c>
      <x:c r="G5" s="131" t="n">
        <x:v>0</x:v>
      </x:c>
      <x:c r="H5" s="131" t="n">
        <x:v>0</x:v>
      </x:c>
      <x:c r="I5" s="131" t="n">
        <x:v>0</x:v>
      </x:c>
      <x:c r="J5" s="131" t="n">
        <x:v>0</x:v>
      </x:c>
      <x:c r="K5" s="132" t="n">
        <x:f>D5*2+E5*2+F5*2+G5*2+H5+I5+J5</x:f>
        <x:v>4</x:v>
      </x:c>
      <x:c r="L5" s="133" t="str">
        <x:f>IF(K5&gt;=6,"高介绍",IF(K5&gt;=3,"中介绍",IF(K5&gt;=1,"低介绍","未介绍")))</x:f>
        <x:v>中介绍</x:v>
      </x:c>
      <x:c r="M5" s="130" t="str">
        <x:v>Image 2–4: 商品副图视觉/文案明确命中 | Bullet 1–2: ice, gaming, or leisure, it can help you sit comfortably Comfy Headrest and Massage Lumbar Support: This heavy duty game chair is equipped with adjustable headrests and massage lumbar support, al</x:v>
      </x:c>
      <x:c r="N5" s="130" t="str">
        <x:v>https://www.amazon.com/dp/B0BYYLPJQG</x:v>
      </x:c>
      <x:c r="O5" s="130" t="str">
        <x:v>已验证</x:v>
      </x:c>
    </x:row>
    <x:row r="6" ht="48" customHeight="1">
      <x:c r="A6" s="204" t="str">
        <x:v>B0BYYLPJQG</x:v>
      </x:c>
      <x:c r="B6" s="130" t="str">
        <x:v>Content Creators / Streamers</x:v>
      </x:c>
      <x:c r="C6" s="136" t="str">
        <x:v>人群</x:v>
      </x:c>
      <x:c r="D6" s="131" t="n">
        <x:v>0</x:v>
      </x:c>
      <x:c r="E6" s="131" t="n">
        <x:v>0</x:v>
      </x:c>
      <x:c r="F6" s="131" t="n">
        <x:v>1</x:v>
      </x:c>
      <x:c r="G6" s="131" t="n">
        <x:v>0</x:v>
      </x:c>
      <x:c r="H6" s="131" t="n">
        <x:v>0</x:v>
      </x:c>
      <x:c r="I6" s="131" t="n">
        <x:v>0</x:v>
      </x:c>
      <x:c r="J6" s="131" t="n">
        <x:v>0</x:v>
      </x:c>
      <x:c r="K6" s="132" t="n">
        <x:f>D6*2+E6*2+F6*2+G6*2+H6+I6+J6</x:f>
        <x:v>2</x:v>
      </x:c>
      <x:c r="L6" s="133" t="str">
        <x:f>IF(K6&gt;=6,"高介绍",IF(K6&gt;=3,"中介绍",IF(K6&gt;=1,"低介绍","未介绍")))</x:f>
        <x:v>低介绍</x:v>
      </x:c>
      <x:c r="M6" s="130" t="str">
        <x:v>Bullet 1–2: nytime when tired from work, gaming, or live streaming</x:v>
      </x:c>
      <x:c r="N6" s="130" t="str">
        <x:v>https://www.amazon.com/dp/B0BYYLPJQG</x:v>
      </x:c>
      <x:c r="O6" s="130" t="str">
        <x:v>已验证</x:v>
      </x:c>
    </x:row>
    <x:row r="7" ht="48" customHeight="1">
      <x:c r="A7" s="204" t="str">
        <x:v>B0BYYLPJQG</x:v>
      </x:c>
      <x:c r="B7" s="130" t="str">
        <x:v>Quiet-Mobility Seekers</x:v>
      </x:c>
      <x:c r="C7" s="136" t="str">
        <x:v>人群</x:v>
      </x:c>
      <x:c r="D7" s="131" t="n">
        <x:v>0</x:v>
      </x:c>
      <x:c r="E7" s="131" t="n">
        <x:v>0</x:v>
      </x:c>
      <x:c r="F7" s="131" t="n">
        <x:v>0</x:v>
      </x:c>
      <x:c r="G7" s="131" t="n">
        <x:v>0</x:v>
      </x:c>
      <x:c r="H7" s="131" t="n">
        <x:v>0</x:v>
      </x:c>
      <x:c r="I7" s="131" t="n">
        <x:v>1</x:v>
      </x:c>
      <x:c r="J7" s="131" t="n">
        <x:v>0</x:v>
      </x:c>
      <x:c r="K7" s="132" t="n">
        <x:f>D7*2+E7*2+F7*2+G7*2+H7+I7+J7</x:f>
        <x:v>1</x:v>
      </x:c>
      <x:c r="L7" s="133" t="str">
        <x:f>IF(K7&gt;=6,"高介绍",IF(K7&gt;=3,"中介绍",IF(K7&gt;=1,"低介绍","未介绍")))</x:f>
        <x:v>低介绍</x:v>
      </x:c>
      <x:c r="M7" s="130" t="str">
        <x:v>Bullet 3–5: apping. In addition, its 360° smooth-rolling silent casters ensure effortless mobility without scratching floors or disturbing others. Perfect for late-night work or gaming sessions Larger Seatin</x:v>
      </x:c>
      <x:c r="N7" s="130" t="str">
        <x:v>https://www.amazon.com/dp/B0BYYLPJQG</x:v>
      </x:c>
      <x:c r="O7" s="130" t="str">
        <x:v>已验证</x:v>
      </x:c>
    </x:row>
    <x:row r="8" ht="48" customHeight="1">
      <x:c r="A8" s="204" t="str">
        <x:v>B0BYYLPJQG</x:v>
      </x:c>
      <x:c r="B8" s="130" t="str">
        <x:v>Office Workers</x:v>
      </x:c>
      <x:c r="C8" s="136" t="str">
        <x:v>人群</x:v>
      </x:c>
      <x:c r="D8" s="131" t="n">
        <x:v>0</x:v>
      </x:c>
      <x:c r="E8" s="131" t="n">
        <x:v>0</x:v>
      </x:c>
      <x:c r="F8" s="131" t="n">
        <x:v>0</x:v>
      </x:c>
      <x:c r="G8" s="131" t="n">
        <x:v>0</x:v>
      </x:c>
      <x:c r="H8" s="131" t="n">
        <x:v>0</x:v>
      </x:c>
      <x:c r="I8" s="131" t="n">
        <x:v>0</x:v>
      </x:c>
      <x:c r="J8" s="131" t="n">
        <x:v>0</x:v>
      </x:c>
      <x:c r="K8" s="132" t="n">
        <x:f>D8*2+E8*2+F8*2+G8*2+H8+I8+J8</x:f>
        <x:v>0</x:v>
      </x:c>
      <x:c r="L8" s="133" t="str">
        <x:f>IF(K8&gt;=6,"高介绍",IF(K8&gt;=3,"中介绍",IF(K8&gt;=1,"低介绍","未介绍")))</x:f>
        <x:v>未介绍</x:v>
      </x:c>
      <x:c r="M8" s="130" t="str">
        <x:v>Listing 已核验，未发现该标签的明确资源位表达</x:v>
      </x:c>
      <x:c r="N8" s="130" t="str">
        <x:v>https://www.amazon.com/dp/B0BYYLPJQG</x:v>
      </x:c>
      <x:c r="O8" s="130" t="str">
        <x:v>已验证</x:v>
      </x:c>
    </x:row>
    <x:row r="9" ht="48" customHeight="1">
      <x:c r="A9" s="204" t="str">
        <x:v>B0BYYLPJQG</x:v>
      </x:c>
      <x:c r="B9" s="130" t="str">
        <x:v>Office / Workspace</x:v>
      </x:c>
      <x:c r="C9" s="139" t="str">
        <x:v>场景</x:v>
      </x:c>
      <x:c r="D9" s="131" t="n">
        <x:v>0</x:v>
      </x:c>
      <x:c r="E9" s="131" t="n">
        <x:v>1</x:v>
      </x:c>
      <x:c r="F9" s="131" t="n">
        <x:v>1</x:v>
      </x:c>
      <x:c r="G9" s="131" t="n">
        <x:v>0</x:v>
      </x:c>
      <x:c r="H9" s="131" t="n">
        <x:v>1</x:v>
      </x:c>
      <x:c r="I9" s="131" t="n">
        <x:v>1</x:v>
      </x:c>
      <x:c r="J9" s="131" t="n">
        <x:v>0</x:v>
      </x:c>
      <x:c r="K9" s="132" t="n">
        <x:f>D9*2+E9*2+F9*2+G9*2+H9+I9+J9</x:f>
        <x:v>6</x:v>
      </x:c>
      <x:c r="L9" s="133" t="str">
        <x:f>IF(K9&gt;=6,"高介绍",IF(K9&gt;=3,"中介绍",IF(K9&gt;=1,"低介绍","未介绍")))</x:f>
        <x:v>高介绍</x:v>
      </x:c>
      <x:c r="M9" s="130" t="str">
        <x:v>Image 2–4: 商品副图视觉/文案明确命中 | Bullet 1–2: ect support for the spine. Whether it is for office, gaming, or leisure, it can help you sit comfortably Comfy Headrest and Massage Lumbar Support: This heavy duty game chair is equipped with adj | 后部副图: 商品副图视觉/文案明确命中 | Bullet 3–5: r Seating Area and Highly Breathable PU: Our office gamer chair cushion offers a more spacious seating area, with at least 10cm of extra width compared to typical gaming chair, which is suitable </x:v>
      </x:c>
      <x:c r="N9" s="130" t="str">
        <x:v>https://www.amazon.com/dp/B0BYYLPJQG</x:v>
      </x:c>
      <x:c r="O9" s="130" t="str">
        <x:v>已验证</x:v>
      </x:c>
    </x:row>
    <x:row r="10" ht="48" customHeight="1">
      <x:c r="A10" s="204" t="str">
        <x:v>B0BYYLPJQG</x:v>
      </x:c>
      <x:c r="B10" s="130" t="str">
        <x:v>Entertainment / Leisure Space</x:v>
      </x:c>
      <x:c r="C10" s="139" t="str">
        <x:v>场景</x:v>
      </x:c>
      <x:c r="D10" s="131" t="n">
        <x:v>0</x:v>
      </x:c>
      <x:c r="E10" s="131" t="n">
        <x:v>0</x:v>
      </x:c>
      <x:c r="F10" s="131" t="n">
        <x:v>1</x:v>
      </x:c>
      <x:c r="G10" s="131" t="n">
        <x:v>0</x:v>
      </x:c>
      <x:c r="H10" s="131" t="n">
        <x:v>1</x:v>
      </x:c>
      <x:c r="I10" s="131" t="n">
        <x:v>1</x:v>
      </x:c>
      <x:c r="J10" s="131" t="n">
        <x:v>1</x:v>
      </x:c>
      <x:c r="K10" s="132" t="n">
        <x:f>D10*2+E10*2+F10*2+G10*2+H10+I10+J10</x:f>
        <x:v>5</x:v>
      </x:c>
      <x:c r="L10" s="133" t="str">
        <x:f>IF(K10&gt;=6,"高介绍",IF(K10&gt;=3,"中介绍",IF(K10&gt;=1,"低介绍","未介绍")))</x:f>
        <x:v>中介绍</x:v>
      </x:c>
      <x:c r="M10" s="130" t="str">
        <x:v>Bullet 1–2:  spine. Whether it is for office, gaming, or leisure, it can help you sit comfortably Comfy Headrest and Massage Lumbar Support: This heavy duty game chair is equipped with adjustable headrests a | 后部副图: 商品副图视觉/文案明确命中 | Bullet 3–5: ° to 135°, ideal for focused work or gaming, leisurely media browsing, or even flat-out napping. In addition, its 360° smooth-rolling silent casters ensure effortless mobility without scratching  | A+其他: he lumbar pillow with a USB cable provides a relaxing massage when you feel tired. Patent Linkage Armrest We have carefully analyzed the reasons for the instability of linkage armrests , and afte</x:v>
      </x:c>
      <x:c r="N10" s="130" t="str">
        <x:v>https://www.amazon.com/dp/B0BYYLPJQG</x:v>
      </x:c>
      <x:c r="O10" s="130" t="str">
        <x:v>已验证</x:v>
      </x:c>
    </x:row>
    <x:row r="11" ht="48" customHeight="1">
      <x:c r="A11" s="204" t="str">
        <x:v>B0BYYLPJQG</x:v>
      </x:c>
      <x:c r="B11" s="130" t="str">
        <x:v>Streaming / Content Creation Setup</x:v>
      </x:c>
      <x:c r="C11" s="139" t="str">
        <x:v>场景</x:v>
      </x:c>
      <x:c r="D11" s="131" t="n">
        <x:v>0</x:v>
      </x:c>
      <x:c r="E11" s="131" t="n">
        <x:v>0</x:v>
      </x:c>
      <x:c r="F11" s="131" t="n">
        <x:v>1</x:v>
      </x:c>
      <x:c r="G11" s="131" t="n">
        <x:v>0</x:v>
      </x:c>
      <x:c r="H11" s="131" t="n">
        <x:v>0</x:v>
      </x:c>
      <x:c r="I11" s="131" t="n">
        <x:v>0</x:v>
      </x:c>
      <x:c r="J11" s="131" t="n">
        <x:v>0</x:v>
      </x:c>
      <x:c r="K11" s="132" t="n">
        <x:f>D11*2+E11*2+F11*2+G11*2+H11+I11+J11</x:f>
        <x:v>2</x:v>
      </x:c>
      <x:c r="L11" s="133" t="str">
        <x:f>IF(K11&gt;=6,"高介绍",IF(K11&gt;=3,"中介绍",IF(K11&gt;=1,"低介绍","未介绍")))</x:f>
        <x:v>低介绍</x:v>
      </x:c>
      <x:c r="M11" s="130" t="str">
        <x:v>Bullet 1–2: nytime when tired from work, gaming, or live streaming</x:v>
      </x:c>
      <x:c r="N11" s="130" t="str">
        <x:v>https://www.amazon.com/dp/B0BYYLPJQG</x:v>
      </x:c>
      <x:c r="O11" s="130" t="str">
        <x:v>已验证</x:v>
      </x:c>
    </x:row>
    <x:row r="12" ht="48" customHeight="1">
      <x:c r="A12" s="204" t="str">
        <x:v>B0BYYLPJQG</x:v>
      </x:c>
      <x:c r="B12" s="130" t="str">
        <x:v>Gaming Room / Setup</x:v>
      </x:c>
      <x:c r="C12" s="139" t="str">
        <x:v>场景</x:v>
      </x:c>
      <x:c r="D12" s="131" t="n">
        <x:v>0</x:v>
      </x:c>
      <x:c r="E12" s="131" t="n">
        <x:v>0</x:v>
      </x:c>
      <x:c r="F12" s="131" t="n">
        <x:v>0</x:v>
      </x:c>
      <x:c r="G12" s="131" t="n">
        <x:v>0</x:v>
      </x:c>
      <x:c r="H12" s="131" t="n">
        <x:v>1</x:v>
      </x:c>
      <x:c r="I12" s="131" t="n">
        <x:v>0</x:v>
      </x:c>
      <x:c r="J12" s="131" t="n">
        <x:v>0</x:v>
      </x:c>
      <x:c r="K12" s="132" t="n">
        <x:f>D12*2+E12*2+F12*2+G12*2+H12+I12+J12</x:f>
        <x:v>1</x:v>
      </x:c>
      <x:c r="L12" s="133" t="str">
        <x:f>IF(K12&gt;=6,"高介绍",IF(K12&gt;=3,"中介绍",IF(K12&gt;=1,"低介绍","未介绍")))</x:f>
        <x:v>低介绍</x:v>
      </x:c>
      <x:c r="M12" s="130" t="str">
        <x:v>后部副图: 商品副图视觉/文案明确命中</x:v>
      </x:c>
      <x:c r="N12" s="130" t="str">
        <x:v>https://www.amazon.com/dp/B0BYYLPJQG</x:v>
      </x:c>
      <x:c r="O12" s="130" t="str">
        <x:v>已验证</x:v>
      </x:c>
    </x:row>
    <x:row r="13" ht="48" customHeight="1">
      <x:c r="A13" s="204" t="str">
        <x:v>B0BYYLPJQG</x:v>
      </x:c>
      <x:c r="B13" s="130" t="str">
        <x:v>Late-Night Use</x:v>
      </x:c>
      <x:c r="C13" s="139" t="str">
        <x:v>场景</x:v>
      </x:c>
      <x:c r="D13" s="131" t="n">
        <x:v>0</x:v>
      </x:c>
      <x:c r="E13" s="131" t="n">
        <x:v>0</x:v>
      </x:c>
      <x:c r="F13" s="131" t="n">
        <x:v>0</x:v>
      </x:c>
      <x:c r="G13" s="131" t="n">
        <x:v>0</x:v>
      </x:c>
      <x:c r="H13" s="131" t="n">
        <x:v>0</x:v>
      </x:c>
      <x:c r="I13" s="131" t="n">
        <x:v>1</x:v>
      </x:c>
      <x:c r="J13" s="131" t="n">
        <x:v>0</x:v>
      </x:c>
      <x:c r="K13" s="132" t="n">
        <x:f>D13*2+E13*2+F13*2+G13*2+H13+I13+J13</x:f>
        <x:v>1</x:v>
      </x:c>
      <x:c r="L13" s="133" t="str">
        <x:f>IF(K13&gt;=6,"高介绍",IF(K13&gt;=3,"中介绍",IF(K13&gt;=1,"低介绍","未介绍")))</x:f>
        <x:v>低介绍</x:v>
      </x:c>
      <x:c r="M13" s="130" t="str">
        <x:v>Bullet 3–5: ing floors or disturbing others. Perfect for late-night work or gaming sessions Larger Seating Area and Highly Breathable PU: Our office gamer chair cushion offers a more spacious seating area, w</x:v>
      </x:c>
      <x:c r="N13" s="130" t="str">
        <x:v>https://www.amazon.com/dp/B0BYYLPJQG</x:v>
      </x:c>
      <x:c r="O13" s="130" t="str">
        <x:v>已验证</x:v>
      </x:c>
    </x:row>
    <x:row r="14" ht="48" customHeight="1">
      <x:c r="A14" s="204" t="str">
        <x:v>B0BYYLPJQG</x:v>
      </x:c>
      <x:c r="B14" s="130" t="str">
        <x:v>Gaming</x:v>
      </x:c>
      <x:c r="C14" s="142" t="str">
        <x:v>用途</x:v>
      </x:c>
      <x:c r="D14" s="131" t="n">
        <x:v>1</x:v>
      </x:c>
      <x:c r="E14" s="131" t="n">
        <x:v>1</x:v>
      </x:c>
      <x:c r="F14" s="131" t="n">
        <x:v>1</x:v>
      </x:c>
      <x:c r="G14" s="131" t="n">
        <x:v>1</x:v>
      </x:c>
      <x:c r="H14" s="131" t="n">
        <x:v>1</x:v>
      </x:c>
      <x:c r="I14" s="131" t="n">
        <x:v>1</x:v>
      </x:c>
      <x:c r="J14" s="131" t="n">
        <x:v>1</x:v>
      </x:c>
      <x:c r="K14" s="132" t="n">
        <x:f>D14*2+E14*2+F14*2+G14*2+H14+I14+J14</x:f>
        <x:v>11</x:v>
      </x:c>
      <x:c r="L14" s="133" t="str">
        <x:f>IF(K14&gt;=6,"高介绍",IF(K14&gt;=3,"中介绍",IF(K14&gt;=1,"低介绍","未介绍")))</x:f>
        <x:v>高介绍</x:v>
      </x:c>
      <x:c r="M14" s="130" t="str">
        <x:v>Title: Dowinx Gaming Chair Breathable PU Leather Gamer Chair with Footrest Massage Lumbar Support, Big and Tall Ergonomic Reclining Computer Chair with Pocket Sprin | Image 2–4: 商品副图视觉/文案明确命中 | Bullet 1–2: ort for the spine. Whether it is for office, gaming, or leisure, it can help you sit comfortably Comfy Headrest and Massage Lumbar Support: This heavy duty game chair is equipped with adjustable  | A+核心: gaming chair | 后部副图: 商品副图视觉/文案明确命中 | Bullet 3–5: Versatile Design for Every Need: The desk gaming chair's backrest reclines from 90° to 135°, ideal for focused work or gaming, leisurely media browsing, or even flat-out napping. In addition,  | A+其他: gaming chair | 1 | gaming chair | Previous page Massage Lumbar Support The lumbar pillow with a USB cable provides a relaxing massage when you feel ti</x:v>
      </x:c>
      <x:c r="N14" s="130" t="str">
        <x:v>https://www.amazon.com/dp/B0BYYLPJQG</x:v>
      </x:c>
      <x:c r="O14" s="130" t="str">
        <x:v>已验证</x:v>
      </x:c>
    </x:row>
    <x:row r="15" ht="48" customHeight="1">
      <x:c r="A15" s="204" t="str">
        <x:v>B0BYYLPJQG</x:v>
      </x:c>
      <x:c r="B15" s="130" t="str">
        <x:v>Relaxing</x:v>
      </x:c>
      <x:c r="C15" s="142" t="str">
        <x:v>用途</x:v>
      </x:c>
      <x:c r="D15" s="131" t="n">
        <x:v>1</x:v>
      </x:c>
      <x:c r="E15" s="131" t="n">
        <x:v>0</x:v>
      </x:c>
      <x:c r="F15" s="131" t="n">
        <x:v>1</x:v>
      </x:c>
      <x:c r="G15" s="131" t="n">
        <x:v>0</x:v>
      </x:c>
      <x:c r="H15" s="131" t="n">
        <x:v>1</x:v>
      </x:c>
      <x:c r="I15" s="131" t="n">
        <x:v>1</x:v>
      </x:c>
      <x:c r="J15" s="131" t="n">
        <x:v>1</x:v>
      </x:c>
      <x:c r="K15" s="132" t="n">
        <x:f>D15*2+E15*2+F15*2+G15*2+H15+I15+J15</x:f>
        <x:v>7</x:v>
      </x:c>
      <x:c r="L15" s="133" t="str">
        <x:f>IF(K15&gt;=6,"高介绍",IF(K15&gt;=3,"中介绍",IF(K15&gt;=1,"低介绍","未介绍")))</x:f>
        <x:v>高介绍</x:v>
      </x:c>
      <x:c r="M15" s="130" t="str">
        <x:v>Title: r Breathable PU Leather Gamer Chair with Footrest Massage Lumbar Support, Big and Tall Ergonomic Reclining Computer Chair with Pocket Spring Cushion for Adults Teens (Brown) | Bullet 1–2: e, it can help you sit comfortably Comfy Headrest and Massage Lumbar Support: This heavy duty game chair is equipped with adjustable headrests and massage lumbar support, allowing the headrest to | 后部副图: 商品副图视觉/文案明确命中 | Bullet 3–5:  for Every Need: The desk gaming chair's backrest reclines from 90° to 135°, ideal for focused work or gaming, leisurely media browsing, or even flat-out napping. In addition, its 360° smooth-rol | A+其他: he lumbar pillow with a USB cable provides a relaxing massage when you feel tired. Patent Linkage Armrest We have carefully analyzed the reasons for the instability of linkage armrests , and afte</x:v>
      </x:c>
      <x:c r="N15" s="130" t="str">
        <x:v>https://www.amazon.com/dp/B0BYYLPJQG</x:v>
      </x:c>
      <x:c r="O15" s="130" t="str">
        <x:v>已验证</x:v>
      </x:c>
    </x:row>
    <x:row r="16" ht="48" customHeight="1">
      <x:c r="A16" s="204" t="str">
        <x:v>B0BYYLPJQG</x:v>
      </x:c>
      <x:c r="B16" s="130" t="str">
        <x:v>Work</x:v>
      </x:c>
      <x:c r="C16" s="142" t="str">
        <x:v>用途</x:v>
      </x:c>
      <x:c r="D16" s="131" t="n">
        <x:v>0</x:v>
      </x:c>
      <x:c r="E16" s="131" t="n">
        <x:v>1</x:v>
      </x:c>
      <x:c r="F16" s="131" t="n">
        <x:v>1</x:v>
      </x:c>
      <x:c r="G16" s="131" t="n">
        <x:v>0</x:v>
      </x:c>
      <x:c r="H16" s="131" t="n">
        <x:v>1</x:v>
      </x:c>
      <x:c r="I16" s="131" t="n">
        <x:v>1</x:v>
      </x:c>
      <x:c r="J16" s="131" t="n">
        <x:v>0</x:v>
      </x:c>
      <x:c r="K16" s="132" t="n">
        <x:f>D16*2+E16*2+F16*2+G16*2+H16+I16+J16</x:f>
        <x:v>6</x:v>
      </x:c>
      <x:c r="L16" s="133" t="str">
        <x:f>IF(K16&gt;=6,"高介绍",IF(K16&gt;=3,"中介绍",IF(K16&gt;=1,"低介绍","未介绍")))</x:f>
        <x:v>高介绍</x:v>
      </x:c>
      <x:c r="M16" s="130" t="str">
        <x:v>Image 2–4: 商品副图视觉/文案明确命中 | Bullet 1–2: ect support for the spine. Whether it is for office, gaming, or leisure, it can help you sit comfortably Comfy Headrest and Massage Lumbar Support: This heavy duty game chair is equipped with adj | 后部副图: 商品副图视觉/文案明确命中 | Bullet 3–5: Versatile Design for Every Need: The desk gaming chair's backrest reclines from 90° to 135°, ideal for focused work or gaming, leisurely media browsing, or even flat-out napping. In addit</x:v>
      </x:c>
      <x:c r="N16" s="130" t="str">
        <x:v>https://www.amazon.com/dp/B0BYYLPJQG</x:v>
      </x:c>
      <x:c r="O16" s="130" t="str">
        <x:v>已验证</x:v>
      </x:c>
    </x:row>
    <x:row r="17" ht="48" customHeight="1">
      <x:c r="A17" s="204" t="str">
        <x:v>B0BYYLPJQG</x:v>
      </x:c>
      <x:c r="B17" s="130" t="str">
        <x:v>Computer Use</x:v>
      </x:c>
      <x:c r="C17" s="142" t="str">
        <x:v>用途</x:v>
      </x:c>
      <x:c r="D17" s="131" t="n">
        <x:v>1</x:v>
      </x:c>
      <x:c r="E17" s="131" t="n">
        <x:v>0</x:v>
      </x:c>
      <x:c r="F17" s="131" t="n">
        <x:v>1</x:v>
      </x:c>
      <x:c r="G17" s="131" t="n">
        <x:v>0</x:v>
      </x:c>
      <x:c r="H17" s="131" t="n">
        <x:v>0</x:v>
      </x:c>
      <x:c r="I17" s="131" t="n">
        <x:v>1</x:v>
      </x:c>
      <x:c r="J17" s="131" t="n">
        <x:v>0</x:v>
      </x:c>
      <x:c r="K17" s="132" t="n">
        <x:f>D17*2+E17*2+F17*2+G17*2+H17+I17+J17</x:f>
        <x:v>5</x:v>
      </x:c>
      <x:c r="L17" s="133" t="str">
        <x:f>IF(K17&gt;=6,"高介绍",IF(K17&gt;=3,"中介绍",IF(K17&gt;=1,"低介绍","未介绍")))</x:f>
        <x:v>中介绍</x:v>
      </x:c>
      <x:c r="M17" s="130" t="str">
        <x:v>Title: ar Support, Big and Tall Ergonomic Reclining Computer Chair with Pocket Spring Cushion for Adults Teens (Brown) | Bullet 1–2: ndependently pocketed springs into our video computer chair, which distribute body weight evenly and provide an appropriate level of support. Designed ergonomically to provide perfect support for | Bullet 3–5:  ideal for focused work or gaming, leisurely media browsing, or even flat-out napping. In addition, its 360° smooth-rolling silent casters ensure effortless mobility without scratching floors or </x:v>
      </x:c>
      <x:c r="N17" s="130" t="str">
        <x:v>https://www.amazon.com/dp/B0BYYLPJQG</x:v>
      </x:c>
      <x:c r="O17" s="130" t="str">
        <x:v>已验证</x:v>
      </x:c>
    </x:row>
    <x:row r="18" ht="48" customHeight="1">
      <x:c r="A18" s="204" t="str">
        <x:v>B0BYYLPJQG</x:v>
      </x:c>
      <x:c r="B18" s="130" t="str">
        <x:v>Streaming / Content Creation</x:v>
      </x:c>
      <x:c r="C18" s="142" t="str">
        <x:v>用途</x:v>
      </x:c>
      <x:c r="D18" s="131" t="n">
        <x:v>0</x:v>
      </x:c>
      <x:c r="E18" s="131" t="n">
        <x:v>0</x:v>
      </x:c>
      <x:c r="F18" s="131" t="n">
        <x:v>1</x:v>
      </x:c>
      <x:c r="G18" s="131" t="n">
        <x:v>0</x:v>
      </x:c>
      <x:c r="H18" s="131" t="n">
        <x:v>0</x:v>
      </x:c>
      <x:c r="I18" s="131" t="n">
        <x:v>0</x:v>
      </x:c>
      <x:c r="J18" s="131" t="n">
        <x:v>0</x:v>
      </x:c>
      <x:c r="K18" s="132" t="n">
        <x:f>D18*2+E18*2+F18*2+G18*2+H18+I18+J18</x:f>
        <x:v>2</x:v>
      </x:c>
      <x:c r="L18" s="133" t="str">
        <x:f>IF(K18&gt;=6,"高介绍",IF(K18&gt;=3,"中介绍",IF(K18&gt;=1,"低介绍","未介绍")))</x:f>
        <x:v>低介绍</x:v>
      </x:c>
      <x:c r="M18" s="130" t="str">
        <x:v>Bullet 1–2: nytime when tired from work, gaming, or live streaming</x:v>
      </x:c>
      <x:c r="N18" s="130" t="str">
        <x:v>https://www.amazon.com/dp/B0BYYLPJQG</x:v>
      </x:c>
      <x:c r="O18" s="130" t="str">
        <x:v>已验证</x:v>
      </x:c>
    </x:row>
    <x:row r="19" ht="48" customHeight="1">
      <x:c r="A19" s="204" t="str">
        <x:v>B0BYYLPJQG</x:v>
      </x:c>
      <x:c r="B19" s="130" t="str">
        <x:v>Napping</x:v>
      </x:c>
      <x:c r="C19" s="142" t="str">
        <x:v>用途</x:v>
      </x:c>
      <x:c r="D19" s="131" t="n">
        <x:v>0</x:v>
      </x:c>
      <x:c r="E19" s="131" t="n">
        <x:v>0</x:v>
      </x:c>
      <x:c r="F19" s="131" t="n">
        <x:v>0</x:v>
      </x:c>
      <x:c r="G19" s="131" t="n">
        <x:v>0</x:v>
      </x:c>
      <x:c r="H19" s="131" t="n">
        <x:v>0</x:v>
      </x:c>
      <x:c r="I19" s="131" t="n">
        <x:v>1</x:v>
      </x:c>
      <x:c r="J19" s="131" t="n">
        <x:v>0</x:v>
      </x:c>
      <x:c r="K19" s="132" t="n">
        <x:f>D19*2+E19*2+F19*2+G19*2+H19+I19+J19</x:f>
        <x:v>1</x:v>
      </x:c>
      <x:c r="L19" s="133" t="str">
        <x:f>IF(K19&gt;=6,"高介绍",IF(K19&gt;=3,"中介绍",IF(K19&gt;=1,"低介绍","未介绍")))</x:f>
        <x:v>低介绍</x:v>
      </x:c>
      <x:c r="M19" s="130" t="str">
        <x:v>Bullet 3–5: , leisurely media browsing, or even flat-out napping. In addition, its 360° smooth-rolling silent casters ensure effortless mobility without scratching floors or disturbing others. Perfect for la</x:v>
      </x:c>
      <x:c r="N19" s="130" t="str">
        <x:v>https://www.amazon.com/dp/B0BYYLPJQG</x:v>
      </x:c>
      <x:c r="O19" s="130" t="str">
        <x:v>已验证</x:v>
      </x:c>
    </x:row>
    <x:row r="20" ht="48" customHeight="1">
      <x:c r="A20" s="204" t="str">
        <x:v>B0BYYLPJQG</x:v>
      </x:c>
      <x:c r="B20" s="130" t="str">
        <x:v>Long Hours</x:v>
      </x:c>
      <x:c r="C20" s="145" t="str">
        <x:v>频率</x:v>
      </x:c>
      <x:c r="D20" s="131" t="n">
        <x:v>0</x:v>
      </x:c>
      <x:c r="E20" s="131" t="n">
        <x:v>0</x:v>
      </x:c>
      <x:c r="F20" s="131" t="n">
        <x:v>0</x:v>
      </x:c>
      <x:c r="G20" s="131" t="n">
        <x:v>0</x:v>
      </x:c>
      <x:c r="H20" s="131" t="n">
        <x:v>1</x:v>
      </x:c>
      <x:c r="I20" s="131" t="n">
        <x:v>0</x:v>
      </x:c>
      <x:c r="J20" s="131" t="n">
        <x:v>0</x:v>
      </x:c>
      <x:c r="K20" s="132" t="n">
        <x:f>D20*2+E20*2+F20*2+G20*2+H20+I20+J20</x:f>
        <x:v>1</x:v>
      </x:c>
      <x:c r="L20" s="133" t="str">
        <x:f>IF(K20&gt;=6,"高介绍",IF(K20&gt;=3,"中介绍",IF(K20&gt;=1,"低介绍","未介绍")))</x:f>
        <x:v>低介绍</x:v>
      </x:c>
      <x:c r="M20" s="130" t="str">
        <x:v>后部副图: 商品副图视觉/文案明确命中</x:v>
      </x:c>
      <x:c r="N20" s="130" t="str">
        <x:v>https://www.amazon.com/dp/B0BYYLPJQG</x:v>
      </x:c>
      <x:c r="O20" s="130" t="str">
        <x:v>已验证</x:v>
      </x:c>
    </x:row>
    <x:row r="21" ht="48" customHeight="1">
      <x:c r="A21" s="205" t="str">
        <x:v>B0C58DNX85</x:v>
      </x:c>
      <x:c r="B21" s="146" t="str">
        <x:v>Style-Conscious Users</x:v>
      </x:c>
      <x:c r="C21" s="129" t="str">
        <x:v>人群</x:v>
      </x:c>
      <x:c r="D21" s="147" t="n">
        <x:v>1</x:v>
      </x:c>
      <x:c r="E21" s="147" t="n">
        <x:v>1</x:v>
      </x:c>
      <x:c r="F21" s="147" t="n">
        <x:v>1</x:v>
      </x:c>
      <x:c r="G21" s="147" t="n">
        <x:v>1</x:v>
      </x:c>
      <x:c r="H21" s="147" t="n">
        <x:v>1</x:v>
      </x:c>
      <x:c r="I21" s="147" t="n">
        <x:v>0</x:v>
      </x:c>
      <x:c r="J21" s="147" t="n">
        <x:v>1</x:v>
      </x:c>
      <x:c r="K21" s="148" t="n">
        <x:f>D21*2+E21*2+F21*2+G21*2+H21+I21+J21</x:f>
        <x:v>10</x:v>
      </x:c>
      <x:c r="L21" s="149" t="str">
        <x:f>IF(K21&gt;=6,"高介绍",IF(K21&gt;=3,"中介绍",IF(K21&gt;=1,"低介绍","未介绍")))</x:f>
        <x:v>高介绍</x:v>
      </x:c>
      <x:c r="M21" s="146" t="str">
        <x:v>Title: Dowinx Pink Gaming Chair with Cat Ears and Massage Lumbar Support, Ergonomic Computer Chair with Footrest and Headrest, Comfortable Reclining Game Chair 290lbs for Adults, Black | Image 2–4: 商品副图视觉/文案明确命中 | Bullet 1–2: Next Level Cuteness: What truly sets this gaming chair apart are the distinctive cat ears perched on the top corners of the backrest, cat-shaped headrest and dec | A+核心:  The video shows the product being unpacked. Cute gaming chair | 后部副图: 商品副图视觉/文案明确命中 | A+其他: gaming chair | cute gaming chair | cute gaming chair | Previous page Next page | cute gaming chair | Previous page Next page | cute gaming chair | Previous page Next</x:v>
      </x:c>
      <x:c r="N21" s="146" t="str">
        <x:v>https://www.amazon.com/dp/B0C58DNX85</x:v>
      </x:c>
      <x:c r="O21" s="146" t="str">
        <x:v>已验证</x:v>
      </x:c>
    </x:row>
    <x:row r="22" ht="48" customHeight="1">
      <x:c r="A22" s="206" t="str">
        <x:v>B0C58DNX85</x:v>
      </x:c>
      <x:c r="B22" s="150" t="str">
        <x:v>Gamers</x:v>
      </x:c>
      <x:c r="C22" s="136" t="str">
        <x:v>人群</x:v>
      </x:c>
      <x:c r="D22" s="151" t="n">
        <x:v>1</x:v>
      </x:c>
      <x:c r="E22" s="151" t="n">
        <x:v>0</x:v>
      </x:c>
      <x:c r="F22" s="151" t="n">
        <x:v>1</x:v>
      </x:c>
      <x:c r="G22" s="151" t="n">
        <x:v>1</x:v>
      </x:c>
      <x:c r="H22" s="151" t="n">
        <x:v>1</x:v>
      </x:c>
      <x:c r="I22" s="151" t="n">
        <x:v>1</x:v>
      </x:c>
      <x:c r="J22" s="151" t="n">
        <x:v>1</x:v>
      </x:c>
      <x:c r="K22" s="152" t="n">
        <x:f>D22*2+E22*2+F22*2+G22*2+H22+I22+J22</x:f>
        <x:v>9</x:v>
      </x:c>
      <x:c r="L22" s="153" t="str">
        <x:f>IF(K22&gt;=6,"高介绍",IF(K22&gt;=3,"中介绍",IF(K22&gt;=1,"低介绍","未介绍")))</x:f>
        <x:v>高介绍</x:v>
      </x:c>
      <x:c r="M22" s="150" t="str">
        <x:v>Title: Dowinx Pink Gaming Chair with Cat Ears and Massage Lumbar Support, Ergonomic Computer Chair with Footrest and Headrest, Comfortable Reclining Game Chair 290lbs fo | Bullet 1–2: Next Level Cuteness: What truly sets this gaming chair apart are the distinctive cat ears perched on the top corners of the backrest, cat-shaped headrest and decorative cat accessory. These un | A+核心: video shows the product being unpacked. Cute gaming chair | 后部副图: 商品副图视觉/文案明确命中 | Bullet 3–5:  specifically chose linked armrests for this gaming chair. They help support a more ergonomic position for your arms and shoulders. The armrests also move with the backrest when the chair is recl | A+其他: gaming chair | cute gaming chair | cute gaming chair | Previous page Next page | cute gaming chair | Previous page Next page | cute gaming chair | Pre</x:v>
      </x:c>
      <x:c r="N22" s="150" t="str">
        <x:v>https://www.amazon.com/dp/B0C58DNX85</x:v>
      </x:c>
      <x:c r="O22" s="150" t="str">
        <x:v>已验证</x:v>
      </x:c>
    </x:row>
    <x:row r="23" ht="48" customHeight="1">
      <x:c r="A23" s="206" t="str">
        <x:v>B0C58DNX85</x:v>
      </x:c>
      <x:c r="B23" s="150" t="str">
        <x:v>Content Creators / Streamers</x:v>
      </x:c>
      <x:c r="C23" s="136" t="str">
        <x:v>人群</x:v>
      </x:c>
      <x:c r="D23" s="151" t="n">
        <x:v>0</x:v>
      </x:c>
      <x:c r="E23" s="151" t="n">
        <x:v>0</x:v>
      </x:c>
      <x:c r="F23" s="151" t="n">
        <x:v>0</x:v>
      </x:c>
      <x:c r="G23" s="151" t="n">
        <x:v>0</x:v>
      </x:c>
      <x:c r="H23" s="151" t="n">
        <x:v>1</x:v>
      </x:c>
      <x:c r="I23" s="151" t="n">
        <x:v>0</x:v>
      </x:c>
      <x:c r="J23" s="151" t="n">
        <x:v>0</x:v>
      </x:c>
      <x:c r="K23" s="152" t="n">
        <x:f>D23*2+E23*2+F23*2+G23*2+H23+I23+J23</x:f>
        <x:v>1</x:v>
      </x:c>
      <x:c r="L23" s="153" t="str">
        <x:f>IF(K23&gt;=6,"高介绍",IF(K23&gt;=3,"中介绍",IF(K23&gt;=1,"低介绍","未介绍")))</x:f>
        <x:v>低介绍</x:v>
      </x:c>
      <x:c r="M23" s="150" t="str">
        <x:v>后部副图: 商品副图视觉/文案明确命中</x:v>
      </x:c>
      <x:c r="N23" s="150" t="str">
        <x:v>https://www.amazon.com/dp/B0C58DNX85</x:v>
      </x:c>
      <x:c r="O23" s="150" t="str">
        <x:v>已验证</x:v>
      </x:c>
    </x:row>
    <x:row r="24" ht="48" customHeight="1">
      <x:c r="A24" s="206" t="str">
        <x:v>B0C58DNX85</x:v>
      </x:c>
      <x:c r="B24" s="150" t="str">
        <x:v>Office Workers</x:v>
      </x:c>
      <x:c r="C24" s="136" t="str">
        <x:v>人群</x:v>
      </x:c>
      <x:c r="D24" s="151" t="n">
        <x:v>0</x:v>
      </x:c>
      <x:c r="E24" s="151" t="n">
        <x:v>0</x:v>
      </x:c>
      <x:c r="F24" s="151" t="n">
        <x:v>0</x:v>
      </x:c>
      <x:c r="G24" s="151" t="n">
        <x:v>0</x:v>
      </x:c>
      <x:c r="H24" s="151" t="n">
        <x:v>0</x:v>
      </x:c>
      <x:c r="I24" s="151" t="n">
        <x:v>0</x:v>
      </x:c>
      <x:c r="J24" s="151" t="n">
        <x:v>0</x:v>
      </x:c>
      <x:c r="K24" s="152" t="n">
        <x:f>D24*2+E24*2+F24*2+G24*2+H24+I24+J24</x:f>
        <x:v>0</x:v>
      </x:c>
      <x:c r="L24" s="153" t="str">
        <x:f>IF(K24&gt;=6,"高介绍",IF(K24&gt;=3,"中介绍",IF(K24&gt;=1,"低介绍","未介绍")))</x:f>
        <x:v>未介绍</x:v>
      </x:c>
      <x:c r="M24" s="150" t="str">
        <x:v>Listing 已核验，未发现该标签的明确资源位表达</x:v>
      </x:c>
      <x:c r="N24" s="150" t="str">
        <x:v>https://www.amazon.com/dp/B0C58DNX85</x:v>
      </x:c>
      <x:c r="O24" s="150" t="str">
        <x:v>已验证</x:v>
      </x:c>
    </x:row>
    <x:row r="25" ht="48" customHeight="1">
      <x:c r="A25" s="206" t="str">
        <x:v>B0C58DNX85</x:v>
      </x:c>
      <x:c r="B25" s="150" t="str">
        <x:v>Remote Workers</x:v>
      </x:c>
      <x:c r="C25" s="136" t="str">
        <x:v>人群</x:v>
      </x:c>
      <x:c r="D25" s="151" t="n">
        <x:v>0</x:v>
      </x:c>
      <x:c r="E25" s="151" t="n">
        <x:v>0</x:v>
      </x:c>
      <x:c r="F25" s="151" t="n">
        <x:v>0</x:v>
      </x:c>
      <x:c r="G25" s="151" t="n">
        <x:v>0</x:v>
      </x:c>
      <x:c r="H25" s="151" t="n">
        <x:v>0</x:v>
      </x:c>
      <x:c r="I25" s="151" t="n">
        <x:v>0</x:v>
      </x:c>
      <x:c r="J25" s="151" t="n">
        <x:v>0</x:v>
      </x:c>
      <x:c r="K25" s="152" t="n">
        <x:f>D25*2+E25*2+F25*2+G25*2+H25+I25+J25</x:f>
        <x:v>0</x:v>
      </x:c>
      <x:c r="L25" s="153" t="str">
        <x:f>IF(K25&gt;=6,"高介绍",IF(K25&gt;=3,"中介绍",IF(K25&gt;=1,"低介绍","未介绍")))</x:f>
        <x:v>未介绍</x:v>
      </x:c>
      <x:c r="M25" s="150" t="str">
        <x:v>Listing 已核验，未发现该标签的明确资源位表达</x:v>
      </x:c>
      <x:c r="N25" s="150" t="str">
        <x:v>https://www.amazon.com/dp/B0C58DNX85</x:v>
      </x:c>
      <x:c r="O25" s="150" t="str">
        <x:v>已验证</x:v>
      </x:c>
    </x:row>
    <x:row r="26" ht="48" customHeight="1">
      <x:c r="A26" s="206" t="str">
        <x:v>B0C58DNX85</x:v>
      </x:c>
      <x:c r="B26" s="150" t="str">
        <x:v>Students</x:v>
      </x:c>
      <x:c r="C26" s="136" t="str">
        <x:v>人群</x:v>
      </x:c>
      <x:c r="D26" s="151" t="n">
        <x:v>0</x:v>
      </x:c>
      <x:c r="E26" s="151" t="n">
        <x:v>0</x:v>
      </x:c>
      <x:c r="F26" s="151" t="n">
        <x:v>0</x:v>
      </x:c>
      <x:c r="G26" s="151" t="n">
        <x:v>0</x:v>
      </x:c>
      <x:c r="H26" s="151" t="n">
        <x:v>0</x:v>
      </x:c>
      <x:c r="I26" s="151" t="n">
        <x:v>0</x:v>
      </x:c>
      <x:c r="J26" s="151" t="n">
        <x:v>0</x:v>
      </x:c>
      <x:c r="K26" s="152" t="n">
        <x:f>D26*2+E26*2+F26*2+G26*2+H26+I26+J26</x:f>
        <x:v>0</x:v>
      </x:c>
      <x:c r="L26" s="153" t="str">
        <x:f>IF(K26&gt;=6,"高介绍",IF(K26&gt;=3,"中介绍",IF(K26&gt;=1,"低介绍","未介绍")))</x:f>
        <x:v>未介绍</x:v>
      </x:c>
      <x:c r="M26" s="150" t="str">
        <x:v>Listing 已核验，未发现该标签的明确资源位表达</x:v>
      </x:c>
      <x:c r="N26" s="150" t="str">
        <x:v>https://www.amazon.com/dp/B0C58DNX85</x:v>
      </x:c>
      <x:c r="O26" s="150" t="str">
        <x:v>已验证</x:v>
      </x:c>
    </x:row>
    <x:row r="27" ht="48" customHeight="1">
      <x:c r="A27" s="206" t="str">
        <x:v>B0C58DNX85</x:v>
      </x:c>
      <x:c r="B27" s="150" t="str">
        <x:v>Teens / Young Adults</x:v>
      </x:c>
      <x:c r="C27" s="136" t="str">
        <x:v>人群</x:v>
      </x:c>
      <x:c r="D27" s="151" t="n">
        <x:v>0</x:v>
      </x:c>
      <x:c r="E27" s="151" t="n">
        <x:v>0</x:v>
      </x:c>
      <x:c r="F27" s="151" t="n">
        <x:v>0</x:v>
      </x:c>
      <x:c r="G27" s="151" t="n">
        <x:v>0</x:v>
      </x:c>
      <x:c r="H27" s="151" t="n">
        <x:v>0</x:v>
      </x:c>
      <x:c r="I27" s="151" t="n">
        <x:v>0</x:v>
      </x:c>
      <x:c r="J27" s="151" t="n">
        <x:v>0</x:v>
      </x:c>
      <x:c r="K27" s="152" t="n">
        <x:f>D27*2+E27*2+F27*2+G27*2+H27+I27+J27</x:f>
        <x:v>0</x:v>
      </x:c>
      <x:c r="L27" s="153" t="str">
        <x:f>IF(K27&gt;=6,"高介绍",IF(K27&gt;=3,"中介绍",IF(K27&gt;=1,"低介绍","未介绍")))</x:f>
        <x:v>未介绍</x:v>
      </x:c>
      <x:c r="M27" s="150" t="str">
        <x:v>Listing 已核验，未发现该标签的明确资源位表达</x:v>
      </x:c>
      <x:c r="N27" s="150" t="str">
        <x:v>https://www.amazon.com/dp/B0C58DNX85</x:v>
      </x:c>
      <x:c r="O27" s="150" t="str">
        <x:v>已验证</x:v>
      </x:c>
    </x:row>
    <x:row r="28" ht="48" customHeight="1">
      <x:c r="A28" s="206" t="str">
        <x:v>B0C58DNX85</x:v>
      </x:c>
      <x:c r="B28" s="150" t="str">
        <x:v>Gaming Room / Setup</x:v>
      </x:c>
      <x:c r="C28" s="139" t="str">
        <x:v>场景</x:v>
      </x:c>
      <x:c r="D28" s="151" t="n">
        <x:v>0</x:v>
      </x:c>
      <x:c r="E28" s="151" t="n">
        <x:v>1</x:v>
      </x:c>
      <x:c r="F28" s="151" t="n">
        <x:v>1</x:v>
      </x:c>
      <x:c r="G28" s="151" t="n">
        <x:v>0</x:v>
      </x:c>
      <x:c r="H28" s="151" t="n">
        <x:v>1</x:v>
      </x:c>
      <x:c r="I28" s="151" t="n">
        <x:v>0</x:v>
      </x:c>
      <x:c r="J28" s="151" t="n">
        <x:v>0</x:v>
      </x:c>
      <x:c r="K28" s="152" t="n">
        <x:f>D28*2+E28*2+F28*2+G28*2+H28+I28+J28</x:f>
        <x:v>5</x:v>
      </x:c>
      <x:c r="L28" s="153" t="str">
        <x:f>IF(K28&gt;=6,"高介绍",IF(K28&gt;=3,"中介绍",IF(K28&gt;=1,"低介绍","未介绍")))</x:f>
        <x:v>中介绍</x:v>
      </x:c>
      <x:c r="M28" s="150" t="str">
        <x:v>Image 2–4: 商品副图视觉/文案明确命中 | Bullet 1–2: These unique accents add personality to your gaming setup. The cat ears and accessory are removable and can be replaced with your preferred decorations. Textured Design: The gaming chair features | 后部副图: 商品副图视觉/文案明确命中</x:v>
      </x:c>
      <x:c r="N28" s="150" t="str">
        <x:v>https://www.amazon.com/dp/B0C58DNX85</x:v>
      </x:c>
      <x:c r="O28" s="150" t="str">
        <x:v>已验证</x:v>
      </x:c>
    </x:row>
    <x:row r="29" ht="48" customHeight="1">
      <x:c r="A29" s="206" t="str">
        <x:v>B0C58DNX85</x:v>
      </x:c>
      <x:c r="B29" s="150" t="str">
        <x:v>Entertainment / Leisure Space</x:v>
      </x:c>
      <x:c r="C29" s="139" t="str">
        <x:v>场景</x:v>
      </x:c>
      <x:c r="D29" s="151" t="n">
        <x:v>0</x:v>
      </x:c>
      <x:c r="E29" s="151" t="n">
        <x:v>0</x:v>
      </x:c>
      <x:c r="F29" s="151" t="n">
        <x:v>0</x:v>
      </x:c>
      <x:c r="G29" s="151" t="n">
        <x:v>0</x:v>
      </x:c>
      <x:c r="H29" s="151" t="n">
        <x:v>0</x:v>
      </x:c>
      <x:c r="I29" s="151" t="n">
        <x:v>1</x:v>
      </x:c>
      <x:c r="J29" s="151" t="n">
        <x:v>0</x:v>
      </x:c>
      <x:c r="K29" s="152" t="n">
        <x:f>D29*2+E29*2+F29*2+G29*2+H29+I29+J29</x:f>
        <x:v>1</x:v>
      </x:c>
      <x:c r="L29" s="153" t="str">
        <x:f>IF(K29&gt;=6,"高介绍",IF(K29&gt;=3,"中介绍",IF(K29&gt;=1,"低介绍","未介绍")))</x:f>
        <x:v>低介绍</x:v>
      </x:c>
      <x:c r="M29" s="150" t="str">
        <x:v>Bullet 3–5: e arm support at different angles for a more relaxed sitting experience. Functions to Meet Your Needs: Enjoy customized comfort with a 90°-140° reclining backrest, adjustable headrest, and massag</x:v>
      </x:c>
      <x:c r="N29" s="150" t="str">
        <x:v>https://www.amazon.com/dp/B0C58DNX85</x:v>
      </x:c>
      <x:c r="O29" s="150" t="str">
        <x:v>已验证</x:v>
      </x:c>
    </x:row>
    <x:row r="30" ht="48" customHeight="1">
      <x:c r="A30" s="206" t="str">
        <x:v>B0C58DNX85</x:v>
      </x:c>
      <x:c r="B30" s="150" t="str">
        <x:v>Bedroom</x:v>
      </x:c>
      <x:c r="C30" s="139" t="str">
        <x:v>场景</x:v>
      </x:c>
      <x:c r="D30" s="151" t="n">
        <x:v>0</x:v>
      </x:c>
      <x:c r="E30" s="151" t="n">
        <x:v>0</x:v>
      </x:c>
      <x:c r="F30" s="151" t="n">
        <x:v>0</x:v>
      </x:c>
      <x:c r="G30" s="151" t="n">
        <x:v>0</x:v>
      </x:c>
      <x:c r="H30" s="151" t="n">
        <x:v>0</x:v>
      </x:c>
      <x:c r="I30" s="151" t="n">
        <x:v>0</x:v>
      </x:c>
      <x:c r="J30" s="151" t="n">
        <x:v>0</x:v>
      </x:c>
      <x:c r="K30" s="152" t="n">
        <x:f>D30*2+E30*2+F30*2+G30*2+H30+I30+J30</x:f>
        <x:v>0</x:v>
      </x:c>
      <x:c r="L30" s="153" t="str">
        <x:f>IF(K30&gt;=6,"高介绍",IF(K30&gt;=3,"中介绍",IF(K30&gt;=1,"低介绍","未介绍")))</x:f>
        <x:v>未介绍</x:v>
      </x:c>
      <x:c r="M30" s="150" t="str">
        <x:v>Listing 已核验，未发现该标签的明确资源位表达</x:v>
      </x:c>
      <x:c r="N30" s="150" t="str">
        <x:v>https://www.amazon.com/dp/B0C58DNX85</x:v>
      </x:c>
      <x:c r="O30" s="150" t="str">
        <x:v>已验证</x:v>
      </x:c>
    </x:row>
    <x:row r="31" ht="48" customHeight="1">
      <x:c r="A31" s="206" t="str">
        <x:v>B0C58DNX85</x:v>
      </x:c>
      <x:c r="B31" s="150" t="str">
        <x:v>Living Room</x:v>
      </x:c>
      <x:c r="C31" s="139" t="str">
        <x:v>场景</x:v>
      </x:c>
      <x:c r="D31" s="151" t="n">
        <x:v>0</x:v>
      </x:c>
      <x:c r="E31" s="151" t="n">
        <x:v>0</x:v>
      </x:c>
      <x:c r="F31" s="151" t="n">
        <x:v>0</x:v>
      </x:c>
      <x:c r="G31" s="151" t="n">
        <x:v>0</x:v>
      </x:c>
      <x:c r="H31" s="151" t="n">
        <x:v>0</x:v>
      </x:c>
      <x:c r="I31" s="151" t="n">
        <x:v>0</x:v>
      </x:c>
      <x:c r="J31" s="151" t="n">
        <x:v>0</x:v>
      </x:c>
      <x:c r="K31" s="152" t="n">
        <x:f>D31*2+E31*2+F31*2+G31*2+H31+I31+J31</x:f>
        <x:v>0</x:v>
      </x:c>
      <x:c r="L31" s="153" t="str">
        <x:f>IF(K31&gt;=6,"高介绍",IF(K31&gt;=3,"中介绍",IF(K31&gt;=1,"低介绍","未介绍")))</x:f>
        <x:v>未介绍</x:v>
      </x:c>
      <x:c r="M31" s="150" t="str">
        <x:v>Listing 已核验，未发现该标签的明确资源位表达</x:v>
      </x:c>
      <x:c r="N31" s="150" t="str">
        <x:v>https://www.amazon.com/dp/B0C58DNX85</x:v>
      </x:c>
      <x:c r="O31" s="150" t="str">
        <x:v>已验证</x:v>
      </x:c>
    </x:row>
    <x:row r="32" ht="48" customHeight="1">
      <x:c r="A32" s="206" t="str">
        <x:v>B0C58DNX85</x:v>
      </x:c>
      <x:c r="B32" s="150" t="str">
        <x:v>Office / Workspace</x:v>
      </x:c>
      <x:c r="C32" s="139" t="str">
        <x:v>场景</x:v>
      </x:c>
      <x:c r="D32" s="151" t="n">
        <x:v>0</x:v>
      </x:c>
      <x:c r="E32" s="151" t="n">
        <x:v>0</x:v>
      </x:c>
      <x:c r="F32" s="151" t="n">
        <x:v>0</x:v>
      </x:c>
      <x:c r="G32" s="151" t="n">
        <x:v>0</x:v>
      </x:c>
      <x:c r="H32" s="151" t="n">
        <x:v>0</x:v>
      </x:c>
      <x:c r="I32" s="151" t="n">
        <x:v>0</x:v>
      </x:c>
      <x:c r="J32" s="151" t="n">
        <x:v>0</x:v>
      </x:c>
      <x:c r="K32" s="152" t="n">
        <x:f>D32*2+E32*2+F32*2+G32*2+H32+I32+J32</x:f>
        <x:v>0</x:v>
      </x:c>
      <x:c r="L32" s="153" t="str">
        <x:f>IF(K32&gt;=6,"高介绍",IF(K32&gt;=3,"中介绍",IF(K32&gt;=1,"低介绍","未介绍")))</x:f>
        <x:v>未介绍</x:v>
      </x:c>
      <x:c r="M32" s="150" t="str">
        <x:v>Listing 已核验，未发现该标签的明确资源位表达</x:v>
      </x:c>
      <x:c r="N32" s="150" t="str">
        <x:v>https://www.amazon.com/dp/B0C58DNX85</x:v>
      </x:c>
      <x:c r="O32" s="150" t="str">
        <x:v>已验证</x:v>
      </x:c>
    </x:row>
    <x:row r="33" ht="48" customHeight="1">
      <x:c r="A33" s="206" t="str">
        <x:v>B0C58DNX85</x:v>
      </x:c>
      <x:c r="B33" s="150" t="str">
        <x:v>Study Area</x:v>
      </x:c>
      <x:c r="C33" s="139" t="str">
        <x:v>场景</x:v>
      </x:c>
      <x:c r="D33" s="151" t="n">
        <x:v>0</x:v>
      </x:c>
      <x:c r="E33" s="151" t="n">
        <x:v>0</x:v>
      </x:c>
      <x:c r="F33" s="151" t="n">
        <x:v>0</x:v>
      </x:c>
      <x:c r="G33" s="151" t="n">
        <x:v>0</x:v>
      </x:c>
      <x:c r="H33" s="151" t="n">
        <x:v>0</x:v>
      </x:c>
      <x:c r="I33" s="151" t="n">
        <x:v>0</x:v>
      </x:c>
      <x:c r="J33" s="151" t="n">
        <x:v>0</x:v>
      </x:c>
      <x:c r="K33" s="152" t="n">
        <x:f>D33*2+E33*2+F33*2+G33*2+H33+I33+J33</x:f>
        <x:v>0</x:v>
      </x:c>
      <x:c r="L33" s="153" t="str">
        <x:f>IF(K33&gt;=6,"高介绍",IF(K33&gt;=3,"中介绍",IF(K33&gt;=1,"低介绍","未介绍")))</x:f>
        <x:v>未介绍</x:v>
      </x:c>
      <x:c r="M33" s="150" t="str">
        <x:v>Listing 已核验，未发现该标签的明确资源位表达</x:v>
      </x:c>
      <x:c r="N33" s="150" t="str">
        <x:v>https://www.amazon.com/dp/B0C58DNX85</x:v>
      </x:c>
      <x:c r="O33" s="150" t="str">
        <x:v>已验证</x:v>
      </x:c>
    </x:row>
    <x:row r="34" ht="48" customHeight="1">
      <x:c r="A34" s="206" t="str">
        <x:v>B0C58DNX85</x:v>
      </x:c>
      <x:c r="B34" s="150" t="str">
        <x:v>Gaming</x:v>
      </x:c>
      <x:c r="C34" s="142" t="str">
        <x:v>用途</x:v>
      </x:c>
      <x:c r="D34" s="151" t="n">
        <x:v>1</x:v>
      </x:c>
      <x:c r="E34" s="151" t="n">
        <x:v>1</x:v>
      </x:c>
      <x:c r="F34" s="151" t="n">
        <x:v>1</x:v>
      </x:c>
      <x:c r="G34" s="151" t="n">
        <x:v>1</x:v>
      </x:c>
      <x:c r="H34" s="151" t="n">
        <x:v>1</x:v>
      </x:c>
      <x:c r="I34" s="151" t="n">
        <x:v>1</x:v>
      </x:c>
      <x:c r="J34" s="151" t="n">
        <x:v>1</x:v>
      </x:c>
      <x:c r="K34" s="152" t="n">
        <x:f>D34*2+E34*2+F34*2+G34*2+H34+I34+J34</x:f>
        <x:v>11</x:v>
      </x:c>
      <x:c r="L34" s="153" t="str">
        <x:f>IF(K34&gt;=6,"高介绍",IF(K34&gt;=3,"中介绍",IF(K34&gt;=1,"低介绍","未介绍")))</x:f>
        <x:v>高介绍</x:v>
      </x:c>
      <x:c r="M34" s="150" t="str">
        <x:v>Title: Dowinx Pink Gaming Chair with Cat Ears and Massage Lumbar Support, Ergonomic Computer Chair with Footrest and Headrest, Comfortable Reclining Game Chair 290lbs fo | Image 2–4: 商品副图视觉/文案明确命中 | Bullet 1–2: Next Level Cuteness: What truly sets this gaming chair apart are the distinctive cat ears perched on the top corners of the backrest, cat-shaped headrest and decorative cat accessory. These un | A+核心: video shows the product being unpacked. Cute gaming chair | 后部副图: 商品副图视觉/文案明确命中 | Bullet 3–5:  specifically chose linked armrests for this gaming chair. They help support a more ergonomic position for your arms and shoulders. The armrests also move with the backrest when the chair is recl | A+其他: gaming chair | cute gaming chair | cute gaming chair | Previous page Next page | cute gaming chair | Previous page Next page | cute gaming chair | Pre</x:v>
      </x:c>
      <x:c r="N34" s="150" t="str">
        <x:v>https://www.amazon.com/dp/B0C58DNX85</x:v>
      </x:c>
      <x:c r="O34" s="150" t="str">
        <x:v>已验证</x:v>
      </x:c>
    </x:row>
    <x:row r="35" ht="48" customHeight="1">
      <x:c r="A35" s="206" t="str">
        <x:v>B0C58DNX85</x:v>
      </x:c>
      <x:c r="B35" s="150" t="str">
        <x:v>Relaxing</x:v>
      </x:c>
      <x:c r="C35" s="142" t="str">
        <x:v>用途</x:v>
      </x:c>
      <x:c r="D35" s="151" t="n">
        <x:v>1</x:v>
      </x:c>
      <x:c r="E35" s="151" t="n">
        <x:v>0</x:v>
      </x:c>
      <x:c r="F35" s="151" t="n">
        <x:v>1</x:v>
      </x:c>
      <x:c r="G35" s="151" t="n">
        <x:v>0</x:v>
      </x:c>
      <x:c r="H35" s="151" t="n">
        <x:v>1</x:v>
      </x:c>
      <x:c r="I35" s="151" t="n">
        <x:v>1</x:v>
      </x:c>
      <x:c r="J35" s="151" t="n">
        <x:v>1</x:v>
      </x:c>
      <x:c r="K35" s="152" t="n">
        <x:f>D35*2+E35*2+F35*2+G35*2+H35+I35+J35</x:f>
        <x:v>7</x:v>
      </x:c>
      <x:c r="L35" s="153" t="str">
        <x:f>IF(K35&gt;=6,"高介绍",IF(K35&gt;=3,"中介绍",IF(K35&gt;=1,"低介绍","未介绍")))</x:f>
        <x:v>高介绍</x:v>
      </x:c>
      <x:c r="M35" s="150" t="str">
        <x:v>Title: r Support, Ergonomic Computer Chair with Footrest and Headrest, Comfortable Reclining Game Chair 290lbs for Adults, Black | Bullet 1–2: t ears perched on the top corners of the backrest, cat-shaped headrest and decorative cat accessory. These unique accents add personality to your gaming setup. The cat ears and accessory are remo | 后部副图: 商品副图视觉/文案明确命中 | Bullet 3–5:  Ergonomics: We specifically chose linked armrests for this gaming chair. They help support a more ergonomic position for your arms and shoulders. The armrests also move with the backrest when th | A+其他: 3 THICKENED CUSHION 4 PATCHWORK DESIGN 5 BACKREST STORAGE POCKET | cute gaming chair</x:v>
      </x:c>
      <x:c r="N35" s="150" t="str">
        <x:v>https://www.amazon.com/dp/B0C58DNX85</x:v>
      </x:c>
      <x:c r="O35" s="150" t="str">
        <x:v>已验证</x:v>
      </x:c>
    </x:row>
    <x:row r="36" ht="48" customHeight="1">
      <x:c r="A36" s="206" t="str">
        <x:v>B0C58DNX85</x:v>
      </x:c>
      <x:c r="B36" s="150" t="str">
        <x:v>Work</x:v>
      </x:c>
      <x:c r="C36" s="142" t="str">
        <x:v>用途</x:v>
      </x:c>
      <x:c r="D36" s="151" t="n">
        <x:v>0</x:v>
      </x:c>
      <x:c r="E36" s="151" t="n">
        <x:v>0</x:v>
      </x:c>
      <x:c r="F36" s="151" t="n">
        <x:v>0</x:v>
      </x:c>
      <x:c r="G36" s="151" t="n">
        <x:v>0</x:v>
      </x:c>
      <x:c r="H36" s="151" t="n">
        <x:v>0</x:v>
      </x:c>
      <x:c r="I36" s="151" t="n">
        <x:v>0</x:v>
      </x:c>
      <x:c r="J36" s="151" t="n">
        <x:v>1</x:v>
      </x:c>
      <x:c r="K36" s="152" t="n">
        <x:f>D36*2+E36*2+F36*2+G36*2+H36+I36+J36</x:f>
        <x:v>1</x:v>
      </x:c>
      <x:c r="L36" s="153" t="str">
        <x:f>IF(K36&gt;=6,"高介绍",IF(K36&gt;=3,"中介绍",IF(K36&gt;=1,"低介绍","未介绍")))</x:f>
        <x:v>低介绍</x:v>
      </x:c>
      <x:c r="M36" s="150" t="str">
        <x:v>A+其他:  DISPLAY POSITION 3 THICKENED CUSHION 4 PATCHWORK DESIGN 5 BACKREST STORAGE POCKET | cute gaming chair</x:v>
      </x:c>
      <x:c r="N36" s="150" t="str">
        <x:v>https://www.amazon.com/dp/B0C58DNX85</x:v>
      </x:c>
      <x:c r="O36" s="150" t="str">
        <x:v>已验证</x:v>
      </x:c>
    </x:row>
    <x:row r="37" ht="48" customHeight="1">
      <x:c r="A37" s="206" t="str">
        <x:v>B0C58DNX85</x:v>
      </x:c>
      <x:c r="B37" s="150" t="str">
        <x:v>Reading</x:v>
      </x:c>
      <x:c r="C37" s="142" t="str">
        <x:v>用途</x:v>
      </x:c>
      <x:c r="D37" s="151" t="n">
        <x:v>0</x:v>
      </x:c>
      <x:c r="E37" s="151" t="n">
        <x:v>0</x:v>
      </x:c>
      <x:c r="F37" s="151" t="n">
        <x:v>0</x:v>
      </x:c>
      <x:c r="G37" s="151" t="n">
        <x:v>0</x:v>
      </x:c>
      <x:c r="H37" s="151" t="n">
        <x:v>0</x:v>
      </x:c>
      <x:c r="I37" s="151" t="n">
        <x:v>0</x:v>
      </x:c>
      <x:c r="J37" s="151" t="n">
        <x:v>0</x:v>
      </x:c>
      <x:c r="K37" s="152" t="n">
        <x:f>D37*2+E37*2+F37*2+G37*2+H37+I37+J37</x:f>
        <x:v>0</x:v>
      </x:c>
      <x:c r="L37" s="153" t="str">
        <x:f>IF(K37&gt;=6,"高介绍",IF(K37&gt;=3,"中介绍",IF(K37&gt;=1,"低介绍","未介绍")))</x:f>
        <x:v>未介绍</x:v>
      </x:c>
      <x:c r="M37" s="150" t="str">
        <x:v>Listing 已核验，未发现该标签的明确资源位表达</x:v>
      </x:c>
      <x:c r="N37" s="150" t="str">
        <x:v>https://www.amazon.com/dp/B0C58DNX85</x:v>
      </x:c>
      <x:c r="O37" s="150" t="str">
        <x:v>已验证</x:v>
      </x:c>
    </x:row>
    <x:row r="38" ht="48" customHeight="1">
      <x:c r="A38" s="206" t="str">
        <x:v>B0C58DNX85</x:v>
      </x:c>
      <x:c r="B38" s="150" t="str">
        <x:v>Study</x:v>
      </x:c>
      <x:c r="C38" s="142" t="str">
        <x:v>用途</x:v>
      </x:c>
      <x:c r="D38" s="151" t="n">
        <x:v>0</x:v>
      </x:c>
      <x:c r="E38" s="151" t="n">
        <x:v>0</x:v>
      </x:c>
      <x:c r="F38" s="151" t="n">
        <x:v>0</x:v>
      </x:c>
      <x:c r="G38" s="151" t="n">
        <x:v>0</x:v>
      </x:c>
      <x:c r="H38" s="151" t="n">
        <x:v>0</x:v>
      </x:c>
      <x:c r="I38" s="151" t="n">
        <x:v>0</x:v>
      </x:c>
      <x:c r="J38" s="151" t="n">
        <x:v>0</x:v>
      </x:c>
      <x:c r="K38" s="152" t="n">
        <x:f>D38*2+E38*2+F38*2+G38*2+H38+I38+J38</x:f>
        <x:v>0</x:v>
      </x:c>
      <x:c r="L38" s="153" t="str">
        <x:f>IF(K38&gt;=6,"高介绍",IF(K38&gt;=3,"中介绍",IF(K38&gt;=1,"低介绍","未介绍")))</x:f>
        <x:v>未介绍</x:v>
      </x:c>
      <x:c r="M38" s="150" t="str">
        <x:v>Listing 已核验，未发现该标签的明确资源位表达</x:v>
      </x:c>
      <x:c r="N38" s="150" t="str">
        <x:v>https://www.amazon.com/dp/B0C58DNX85</x:v>
      </x:c>
      <x:c r="O38" s="150" t="str">
        <x:v>已验证</x:v>
      </x:c>
    </x:row>
    <x:row r="39" ht="48" customHeight="1">
      <x:c r="A39" s="203" t="str">
        <x:v>B0D4YV8KZR</x:v>
      </x:c>
      <x:c r="B39" s="123" t="str">
        <x:v>Gamers</x:v>
      </x:c>
      <x:c r="C39" s="129" t="str">
        <x:v>人群</x:v>
      </x:c>
      <x:c r="D39" s="124" t="n">
        <x:v>1</x:v>
      </x:c>
      <x:c r="E39" s="124" t="n">
        <x:v>0</x:v>
      </x:c>
      <x:c r="F39" s="124" t="n">
        <x:v>1</x:v>
      </x:c>
      <x:c r="G39" s="124" t="n">
        <x:v>1</x:v>
      </x:c>
      <x:c r="H39" s="124" t="n">
        <x:v>0</x:v>
      </x:c>
      <x:c r="I39" s="124" t="n">
        <x:v>1</x:v>
      </x:c>
      <x:c r="J39" s="124" t="n">
        <x:v>1</x:v>
      </x:c>
      <x:c r="K39" s="125" t="n">
        <x:f>D39*2+E39*2+F39*2+G39*2+H39+I39+J39</x:f>
        <x:v>8</x:v>
      </x:c>
      <x:c r="L39" s="126" t="str">
        <x:f>IF(K39&gt;=6,"高介绍",IF(K39&gt;=3,"中介绍",IF(K39&gt;=1,"低介绍","未介绍")))</x:f>
        <x:v>高介绍</x:v>
      </x:c>
      <x:c r="M39" s="123" t="str">
        <x:v>Title: Dowinx Gaming Chair Fabric with Pocket Spring Cushion, Massage Game Chair Cloth with Headrest, Ergonomic Computer Chair with Footrest 290LBS, Black | Bullet 1–2: ting Comfort Like Sofa: This seat cushion of gaming chair is composed of pocket springs and shaped foam, allowing for the same elasticity and comfort as a sofa. The springs better distribute the  | A+核心: gaming chair | Bullet 3–5: n your lower back. We designed this computer gaming chair specifically for the undersized guy, both adults and teens. （Please confirm that the chair size and your body type match） High Quality Ma | A+其他: gaming chair | Ultimate Comfort: Sofa-like Spring Cushion for All-Day Support Experience unparalleled comfort with our Sofa-like Spring Cushion, featu</x:v>
      </x:c>
      <x:c r="N39" s="123" t="str">
        <x:v>https://www.amazon.com/dp/B0D4YV8KZR</x:v>
      </x:c>
      <x:c r="O39" s="123" t="str">
        <x:v>已验证</x:v>
      </x:c>
    </x:row>
    <x:row r="40" ht="48" customHeight="1">
      <x:c r="A40" s="204" t="str">
        <x:v>B0D4YV8KZR</x:v>
      </x:c>
      <x:c r="B40" s="130" t="str">
        <x:v>Small-Framed Users</x:v>
      </x:c>
      <x:c r="C40" s="136" t="str">
        <x:v>人群</x:v>
      </x:c>
      <x:c r="D40" s="131" t="n">
        <x:v>0</x:v>
      </x:c>
      <x:c r="E40" s="131" t="n">
        <x:v>1</x:v>
      </x:c>
      <x:c r="F40" s="131" t="n">
        <x:v>0</x:v>
      </x:c>
      <x:c r="G40" s="131" t="n">
        <x:v>0</x:v>
      </x:c>
      <x:c r="H40" s="131" t="n">
        <x:v>0</x:v>
      </x:c>
      <x:c r="I40" s="131" t="n">
        <x:v>1</x:v>
      </x:c>
      <x:c r="J40" s="131" t="n">
        <x:v>0</x:v>
      </x:c>
      <x:c r="K40" s="132" t="n">
        <x:f>D40*2+E40*2+F40*2+G40*2+H40+I40+J40</x:f>
        <x:v>3</x:v>
      </x:c>
      <x:c r="L40" s="133" t="str">
        <x:f>IF(K40&gt;=6,"高介绍",IF(K40&gt;=3,"中介绍",IF(K40&gt;=1,"低介绍","未介绍")))</x:f>
        <x:v>中介绍</x:v>
      </x:c>
      <x:c r="M40" s="130" t="str">
        <x:v>Image 2–4: 商品副图视觉/文案明确命中 | Bullet 3–5: Designed to Fit the Undersized Guy Physique: The best sitting position is that the feet are naturally stepped on the ground. In other words, seat height ≈ 25% of user's h</x:v>
      </x:c>
      <x:c r="N40" s="130" t="str">
        <x:v>https://www.amazon.com/dp/B0D4YV8KZR</x:v>
      </x:c>
      <x:c r="O40" s="130" t="str">
        <x:v>已验证</x:v>
      </x:c>
    </x:row>
    <x:row r="41" ht="48" customHeight="1">
      <x:c r="A41" s="204" t="str">
        <x:v>B0D4YV8KZR</x:v>
      </x:c>
      <x:c r="B41" s="130" t="str">
        <x:v>Teens / Young Adults</x:v>
      </x:c>
      <x:c r="C41" s="136" t="str">
        <x:v>人群</x:v>
      </x:c>
      <x:c r="D41" s="131" t="n">
        <x:v>0</x:v>
      </x:c>
      <x:c r="E41" s="131" t="n">
        <x:v>0</x:v>
      </x:c>
      <x:c r="F41" s="131" t="n">
        <x:v>0</x:v>
      </x:c>
      <x:c r="G41" s="131" t="n">
        <x:v>0</x:v>
      </x:c>
      <x:c r="H41" s="131" t="n">
        <x:v>0</x:v>
      </x:c>
      <x:c r="I41" s="131" t="n">
        <x:v>1</x:v>
      </x:c>
      <x:c r="J41" s="131" t="n">
        <x:v>0</x:v>
      </x:c>
      <x:c r="K41" s="132" t="n">
        <x:f>D41*2+E41*2+F41*2+G41*2+H41+I41+J41</x:f>
        <x:v>1</x:v>
      </x:c>
      <x:c r="L41" s="133" t="str">
        <x:f>IF(K41&gt;=6,"高介绍",IF(K41&gt;=3,"中介绍",IF(K41&gt;=1,"低介绍","未介绍")))</x:f>
        <x:v>低介绍</x:v>
      </x:c>
      <x:c r="M41" s="130" t="str">
        <x:v>Bullet 3–5: ally for the undersized guy, both adults and teens. （Please confirm that the chair size and your body type match） High Quality Materials: We have upgraded the fixings for the backrest of this gam</x:v>
      </x:c>
      <x:c r="N41" s="130" t="str">
        <x:v>https://www.amazon.com/dp/B0D4YV8KZR</x:v>
      </x:c>
      <x:c r="O41" s="130" t="str">
        <x:v>已验证</x:v>
      </x:c>
    </x:row>
    <x:row r="42" ht="48" customHeight="1">
      <x:c r="A42" s="204" t="str">
        <x:v>B0D4YV8KZR</x:v>
      </x:c>
      <x:c r="B42" s="130" t="str">
        <x:v>Budget-Conscious Buyers</x:v>
      </x:c>
      <x:c r="C42" s="136" t="str">
        <x:v>人群</x:v>
      </x:c>
      <x:c r="D42" s="131" t="n">
        <x:v>0</x:v>
      </x:c>
      <x:c r="E42" s="131" t="n">
        <x:v>0</x:v>
      </x:c>
      <x:c r="F42" s="131" t="n">
        <x:v>0</x:v>
      </x:c>
      <x:c r="G42" s="131" t="n">
        <x:v>0</x:v>
      </x:c>
      <x:c r="H42" s="131" t="n">
        <x:v>0</x:v>
      </x:c>
      <x:c r="I42" s="131" t="n">
        <x:v>0</x:v>
      </x:c>
      <x:c r="J42" s="131" t="n">
        <x:v>0</x:v>
      </x:c>
      <x:c r="K42" s="132" t="n">
        <x:f>D42*2+E42*2+F42*2+G42*2+H42+I42+J42</x:f>
        <x:v>0</x:v>
      </x:c>
      <x:c r="L42" s="133" t="str">
        <x:f>IF(K42&gt;=6,"高介绍",IF(K42&gt;=3,"中介绍",IF(K42&gt;=1,"低介绍","未介绍")))</x:f>
        <x:v>未介绍</x:v>
      </x:c>
      <x:c r="M42" s="130" t="str">
        <x:v>Listing 已核验，未发现该标签的明确资源位表达</x:v>
      </x:c>
      <x:c r="N42" s="130" t="str">
        <x:v>https://www.amazon.com/dp/B0D4YV8KZR</x:v>
      </x:c>
      <x:c r="O42" s="130" t="str">
        <x:v>已验证</x:v>
      </x:c>
    </x:row>
    <x:row r="43" ht="48" customHeight="1">
      <x:c r="A43" s="204" t="str">
        <x:v>B0D4YV8KZR</x:v>
      </x:c>
      <x:c r="B43" s="130" t="str">
        <x:v>Content Creators / Streamers</x:v>
      </x:c>
      <x:c r="C43" s="136" t="str">
        <x:v>人群</x:v>
      </x:c>
      <x:c r="D43" s="131" t="n">
        <x:v>0</x:v>
      </x:c>
      <x:c r="E43" s="131" t="n">
        <x:v>0</x:v>
      </x:c>
      <x:c r="F43" s="131" t="n">
        <x:v>0</x:v>
      </x:c>
      <x:c r="G43" s="131" t="n">
        <x:v>0</x:v>
      </x:c>
      <x:c r="H43" s="131" t="n">
        <x:v>0</x:v>
      </x:c>
      <x:c r="I43" s="131" t="n">
        <x:v>0</x:v>
      </x:c>
      <x:c r="J43" s="131" t="n">
        <x:v>0</x:v>
      </x:c>
      <x:c r="K43" s="132" t="n">
        <x:f>D43*2+E43*2+F43*2+G43*2+H43+I43+J43</x:f>
        <x:v>0</x:v>
      </x:c>
      <x:c r="L43" s="133" t="str">
        <x:f>IF(K43&gt;=6,"高介绍",IF(K43&gt;=3,"中介绍",IF(K43&gt;=1,"低介绍","未介绍")))</x:f>
        <x:v>未介绍</x:v>
      </x:c>
      <x:c r="M43" s="130" t="str">
        <x:v>Listing 已核验，未发现该标签的明确资源位表达</x:v>
      </x:c>
      <x:c r="N43" s="130" t="str">
        <x:v>https://www.amazon.com/dp/B0D4YV8KZR</x:v>
      </x:c>
      <x:c r="O43" s="130" t="str">
        <x:v>已验证</x:v>
      </x:c>
    </x:row>
    <x:row r="44" ht="48" customHeight="1">
      <x:c r="A44" s="204" t="str">
        <x:v>B0D4YV8KZR</x:v>
      </x:c>
      <x:c r="B44" s="130" t="str">
        <x:v>Office Workers</x:v>
      </x:c>
      <x:c r="C44" s="136" t="str">
        <x:v>人群</x:v>
      </x:c>
      <x:c r="D44" s="131" t="n">
        <x:v>0</x:v>
      </x:c>
      <x:c r="E44" s="131" t="n">
        <x:v>0</x:v>
      </x:c>
      <x:c r="F44" s="131" t="n">
        <x:v>0</x:v>
      </x:c>
      <x:c r="G44" s="131" t="n">
        <x:v>0</x:v>
      </x:c>
      <x:c r="H44" s="131" t="n">
        <x:v>0</x:v>
      </x:c>
      <x:c r="I44" s="131" t="n">
        <x:v>0</x:v>
      </x:c>
      <x:c r="J44" s="131" t="n">
        <x:v>0</x:v>
      </x:c>
      <x:c r="K44" s="132" t="n">
        <x:f>D44*2+E44*2+F44*2+G44*2+H44+I44+J44</x:f>
        <x:v>0</x:v>
      </x:c>
      <x:c r="L44" s="133" t="str">
        <x:f>IF(K44&gt;=6,"高介绍",IF(K44&gt;=3,"中介绍",IF(K44&gt;=1,"低介绍","未介绍")))</x:f>
        <x:v>未介绍</x:v>
      </x:c>
      <x:c r="M44" s="130" t="str">
        <x:v>Listing 已核验，未发现该标签的明确资源位表达</x:v>
      </x:c>
      <x:c r="N44" s="130" t="str">
        <x:v>https://www.amazon.com/dp/B0D4YV8KZR</x:v>
      </x:c>
      <x:c r="O44" s="130" t="str">
        <x:v>已验证</x:v>
      </x:c>
    </x:row>
    <x:row r="45" ht="48" customHeight="1">
      <x:c r="A45" s="204" t="str">
        <x:v>B0D4YV8KZR</x:v>
      </x:c>
      <x:c r="B45" s="130" t="str">
        <x:v>Remote Workers</x:v>
      </x:c>
      <x:c r="C45" s="136" t="str">
        <x:v>人群</x:v>
      </x:c>
      <x:c r="D45" s="131" t="n">
        <x:v>0</x:v>
      </x:c>
      <x:c r="E45" s="131" t="n">
        <x:v>0</x:v>
      </x:c>
      <x:c r="F45" s="131" t="n">
        <x:v>0</x:v>
      </x:c>
      <x:c r="G45" s="131" t="n">
        <x:v>0</x:v>
      </x:c>
      <x:c r="H45" s="131" t="n">
        <x:v>0</x:v>
      </x:c>
      <x:c r="I45" s="131" t="n">
        <x:v>0</x:v>
      </x:c>
      <x:c r="J45" s="131" t="n">
        <x:v>0</x:v>
      </x:c>
      <x:c r="K45" s="132" t="n">
        <x:f>D45*2+E45*2+F45*2+G45*2+H45+I45+J45</x:f>
        <x:v>0</x:v>
      </x:c>
      <x:c r="L45" s="133" t="str">
        <x:f>IF(K45&gt;=6,"高介绍",IF(K45&gt;=3,"中介绍",IF(K45&gt;=1,"低介绍","未介绍")))</x:f>
        <x:v>未介绍</x:v>
      </x:c>
      <x:c r="M45" s="130" t="str">
        <x:v>Listing 已核验，未发现该标签的明确资源位表达</x:v>
      </x:c>
      <x:c r="N45" s="130" t="str">
        <x:v>https://www.amazon.com/dp/B0D4YV8KZR</x:v>
      </x:c>
      <x:c r="O45" s="130" t="str">
        <x:v>已验证</x:v>
      </x:c>
    </x:row>
    <x:row r="46" ht="48" customHeight="1">
      <x:c r="A46" s="204" t="str">
        <x:v>B0D4YV8KZR</x:v>
      </x:c>
      <x:c r="B46" s="130" t="str">
        <x:v>Students</x:v>
      </x:c>
      <x:c r="C46" s="136" t="str">
        <x:v>人群</x:v>
      </x:c>
      <x:c r="D46" s="131" t="n">
        <x:v>0</x:v>
      </x:c>
      <x:c r="E46" s="131" t="n">
        <x:v>0</x:v>
      </x:c>
      <x:c r="F46" s="131" t="n">
        <x:v>0</x:v>
      </x:c>
      <x:c r="G46" s="131" t="n">
        <x:v>0</x:v>
      </x:c>
      <x:c r="H46" s="131" t="n">
        <x:v>0</x:v>
      </x:c>
      <x:c r="I46" s="131" t="n">
        <x:v>0</x:v>
      </x:c>
      <x:c r="J46" s="131" t="n">
        <x:v>0</x:v>
      </x:c>
      <x:c r="K46" s="132" t="n">
        <x:f>D46*2+E46*2+F46*2+G46*2+H46+I46+J46</x:f>
        <x:v>0</x:v>
      </x:c>
      <x:c r="L46" s="133" t="str">
        <x:f>IF(K46&gt;=6,"高介绍",IF(K46&gt;=3,"中介绍",IF(K46&gt;=1,"低介绍","未介绍")))</x:f>
        <x:v>未介绍</x:v>
      </x:c>
      <x:c r="M46" s="130" t="str">
        <x:v>Listing 已核验，未发现该标签的明确资源位表达</x:v>
      </x:c>
      <x:c r="N46" s="130" t="str">
        <x:v>https://www.amazon.com/dp/B0D4YV8KZR</x:v>
      </x:c>
      <x:c r="O46" s="130" t="str">
        <x:v>已验证</x:v>
      </x:c>
    </x:row>
    <x:row r="47" ht="48" customHeight="1">
      <x:c r="A47" s="204" t="str">
        <x:v>B0D4YV8KZR</x:v>
      </x:c>
      <x:c r="B47" s="130" t="str">
        <x:v>Gaming Room / Setup</x:v>
      </x:c>
      <x:c r="C47" s="139" t="str">
        <x:v>场景</x:v>
      </x:c>
      <x:c r="D47" s="131" t="n">
        <x:v>0</x:v>
      </x:c>
      <x:c r="E47" s="131" t="n">
        <x:v>1</x:v>
      </x:c>
      <x:c r="F47" s="131" t="n">
        <x:v>0</x:v>
      </x:c>
      <x:c r="G47" s="131" t="n">
        <x:v>0</x:v>
      </x:c>
      <x:c r="H47" s="131" t="n">
        <x:v>1</x:v>
      </x:c>
      <x:c r="I47" s="131" t="n">
        <x:v>0</x:v>
      </x:c>
      <x:c r="J47" s="131" t="n">
        <x:v>0</x:v>
      </x:c>
      <x:c r="K47" s="132" t="n">
        <x:f>D47*2+E47*2+F47*2+G47*2+H47+I47+J47</x:f>
        <x:v>3</x:v>
      </x:c>
      <x:c r="L47" s="133" t="str">
        <x:f>IF(K47&gt;=6,"高介绍",IF(K47&gt;=3,"中介绍",IF(K47&gt;=1,"低介绍","未介绍")))</x:f>
        <x:v>中介绍</x:v>
      </x:c>
      <x:c r="M47" s="130" t="str">
        <x:v>Image 2–4: 商品副图视觉/文案明确命中 | 后部副图: 商品副图视觉/文案明确命中</x:v>
      </x:c>
      <x:c r="N47" s="130" t="str">
        <x:v>https://www.amazon.com/dp/B0D4YV8KZR</x:v>
      </x:c>
      <x:c r="O47" s="130" t="str">
        <x:v>已验证</x:v>
      </x:c>
    </x:row>
    <x:row r="48" ht="48" customHeight="1">
      <x:c r="A48" s="204" t="str">
        <x:v>B0D4YV8KZR</x:v>
      </x:c>
      <x:c r="B48" s="130" t="str">
        <x:v>Office / Workspace</x:v>
      </x:c>
      <x:c r="C48" s="139" t="str">
        <x:v>场景</x:v>
      </x:c>
      <x:c r="D48" s="131" t="n">
        <x:v>0</x:v>
      </x:c>
      <x:c r="E48" s="131" t="n">
        <x:v>1</x:v>
      </x:c>
      <x:c r="F48" s="131" t="n">
        <x:v>0</x:v>
      </x:c>
      <x:c r="G48" s="131" t="n">
        <x:v>0</x:v>
      </x:c>
      <x:c r="H48" s="131" t="n">
        <x:v>0</x:v>
      </x:c>
      <x:c r="I48" s="131" t="n">
        <x:v>0</x:v>
      </x:c>
      <x:c r="J48" s="131" t="n">
        <x:v>0</x:v>
      </x:c>
      <x:c r="K48" s="132" t="n">
        <x:f>D48*2+E48*2+F48*2+G48*2+H48+I48+J48</x:f>
        <x:v>2</x:v>
      </x:c>
      <x:c r="L48" s="133" t="str">
        <x:f>IF(K48&gt;=6,"高介绍",IF(K48&gt;=3,"中介绍",IF(K48&gt;=1,"低介绍","未介绍")))</x:f>
        <x:v>低介绍</x:v>
      </x:c>
      <x:c r="M48" s="130" t="str">
        <x:v>Image 2–4: 商品副图视觉/文案明确命中</x:v>
      </x:c>
      <x:c r="N48" s="130" t="str">
        <x:v>https://www.amazon.com/dp/B0D4YV8KZR</x:v>
      </x:c>
      <x:c r="O48" s="130" t="str">
        <x:v>已验证</x:v>
      </x:c>
    </x:row>
    <x:row r="49" ht="48" customHeight="1">
      <x:c r="A49" s="204" t="str">
        <x:v>B0D4YV8KZR</x:v>
      </x:c>
      <x:c r="B49" s="130" t="str">
        <x:v>Entertainment / Leisure Space</x:v>
      </x:c>
      <x:c r="C49" s="139" t="str">
        <x:v>场景</x:v>
      </x:c>
      <x:c r="D49" s="131" t="n">
        <x:v>0</x:v>
      </x:c>
      <x:c r="E49" s="131" t="n">
        <x:v>0</x:v>
      </x:c>
      <x:c r="F49" s="131" t="n">
        <x:v>0</x:v>
      </x:c>
      <x:c r="G49" s="131" t="n">
        <x:v>0</x:v>
      </x:c>
      <x:c r="H49" s="131" t="n">
        <x:v>0</x:v>
      </x:c>
      <x:c r="I49" s="131" t="n">
        <x:v>0</x:v>
      </x:c>
      <x:c r="J49" s="131" t="n">
        <x:v>1</x:v>
      </x:c>
      <x:c r="K49" s="132" t="n">
        <x:f>D49*2+E49*2+F49*2+G49*2+H49+I49+J49</x:f>
        <x:v>1</x:v>
      </x:c>
      <x:c r="L49" s="133" t="str">
        <x:f>IF(K49&gt;=6,"高介绍",IF(K49&gt;=3,"中介绍",IF(K49&gt;=1,"低介绍","未介绍")))</x:f>
        <x:v>低介绍</x:v>
      </x:c>
      <x:c r="M49" s="130" t="str">
        <x:v>A+其他: g long sitting sessions. Perfect for work or relaxation, this cushion ensures lasting comfort, making it an ideal addition to any chair. Say goodbye to fatigue and hello to extended, effortless s</x:v>
      </x:c>
      <x:c r="N49" s="130" t="str">
        <x:v>https://www.amazon.com/dp/B0D4YV8KZR</x:v>
      </x:c>
      <x:c r="O49" s="130" t="str">
        <x:v>已验证</x:v>
      </x:c>
    </x:row>
    <x:row r="50" ht="48" customHeight="1">
      <x:c r="A50" s="204" t="str">
        <x:v>B0D4YV8KZR</x:v>
      </x:c>
      <x:c r="B50" s="130" t="str">
        <x:v>Study Area</x:v>
      </x:c>
      <x:c r="C50" s="139" t="str">
        <x:v>场景</x:v>
      </x:c>
      <x:c r="D50" s="131" t="n">
        <x:v>0</x:v>
      </x:c>
      <x:c r="E50" s="131" t="n">
        <x:v>0</x:v>
      </x:c>
      <x:c r="F50" s="131" t="n">
        <x:v>0</x:v>
      </x:c>
      <x:c r="G50" s="131" t="n">
        <x:v>0</x:v>
      </x:c>
      <x:c r="H50" s="131" t="n">
        <x:v>0</x:v>
      </x:c>
      <x:c r="I50" s="131" t="n">
        <x:v>0</x:v>
      </x:c>
      <x:c r="J50" s="131" t="n">
        <x:v>0</x:v>
      </x:c>
      <x:c r="K50" s="132" t="n">
        <x:f>D50*2+E50*2+F50*2+G50*2+H50+I50+J50</x:f>
        <x:v>0</x:v>
      </x:c>
      <x:c r="L50" s="133" t="str">
        <x:f>IF(K50&gt;=6,"高介绍",IF(K50&gt;=3,"中介绍",IF(K50&gt;=1,"低介绍","未介绍")))</x:f>
        <x:v>未介绍</x:v>
      </x:c>
      <x:c r="M50" s="130" t="str">
        <x:v>Listing 已核验，未发现该标签的明确资源位表达</x:v>
      </x:c>
      <x:c r="N50" s="130" t="str">
        <x:v>https://www.amazon.com/dp/B0D4YV8KZR</x:v>
      </x:c>
      <x:c r="O50" s="130" t="str">
        <x:v>已验证</x:v>
      </x:c>
    </x:row>
    <x:row r="51" ht="48" customHeight="1">
      <x:c r="A51" s="204" t="str">
        <x:v>B0D4YV8KZR</x:v>
      </x:c>
      <x:c r="B51" s="130" t="str">
        <x:v>Gaming</x:v>
      </x:c>
      <x:c r="C51" s="142" t="str">
        <x:v>用途</x:v>
      </x:c>
      <x:c r="D51" s="131" t="n">
        <x:v>1</x:v>
      </x:c>
      <x:c r="E51" s="131" t="n">
        <x:v>1</x:v>
      </x:c>
      <x:c r="F51" s="131" t="n">
        <x:v>1</x:v>
      </x:c>
      <x:c r="G51" s="131" t="n">
        <x:v>1</x:v>
      </x:c>
      <x:c r="H51" s="131" t="n">
        <x:v>1</x:v>
      </x:c>
      <x:c r="I51" s="131" t="n">
        <x:v>1</x:v>
      </x:c>
      <x:c r="J51" s="131" t="n">
        <x:v>1</x:v>
      </x:c>
      <x:c r="K51" s="132" t="n">
        <x:f>D51*2+E51*2+F51*2+G51*2+H51+I51+J51</x:f>
        <x:v>11</x:v>
      </x:c>
      <x:c r="L51" s="133" t="str">
        <x:f>IF(K51&gt;=6,"高介绍",IF(K51&gt;=3,"中介绍",IF(K51&gt;=1,"低介绍","未介绍")))</x:f>
        <x:v>高介绍</x:v>
      </x:c>
      <x:c r="M51" s="130" t="str">
        <x:v>Title: Dowinx Gaming Chair Fabric with Pocket Spring Cushion, Massage Game Chair Cloth with Headrest, Ergonomic Computer Chair with Footrest 290LBS, Black | Image 2–4: 商品副图视觉/文案明确命中 | Bullet 1–2: ting Comfort Like Sofa: This seat cushion of gaming chair is composed of pocket springs and shaped foam, allowing for the same elasticity and comfort as a sofa. The springs better distribute the  | A+核心: gaming chair | 后部副图: 商品副图视觉/文案明确命中 | Bullet 3–5: n your lower back. We designed this computer gaming chair specifically for the undersized guy, both adults and teens. （Please confirm that the chair size and your body type match） High Quality Ma | A+其他: gaming chair | Ultimate Comfort: Sofa-like Spring Cushion for All-Day Support Experience unparalleled comfort with our Sofa-like Spring Cushion, featu</x:v>
      </x:c>
      <x:c r="N51" s="130" t="str">
        <x:v>https://www.amazon.com/dp/B0D4YV8KZR</x:v>
      </x:c>
      <x:c r="O51" s="130" t="str">
        <x:v>已验证</x:v>
      </x:c>
    </x:row>
    <x:row r="52" ht="48" customHeight="1">
      <x:c r="A52" s="204" t="str">
        <x:v>B0D4YV8KZR</x:v>
      </x:c>
      <x:c r="B52" s="130" t="str">
        <x:v>Relaxing</x:v>
      </x:c>
      <x:c r="C52" s="142" t="str">
        <x:v>用途</x:v>
      </x:c>
      <x:c r="D52" s="131" t="n">
        <x:v>1</x:v>
      </x:c>
      <x:c r="E52" s="131" t="n">
        <x:v>1</x:v>
      </x:c>
      <x:c r="F52" s="131" t="n">
        <x:v>0</x:v>
      </x:c>
      <x:c r="G52" s="131" t="n">
        <x:v>0</x:v>
      </x:c>
      <x:c r="H52" s="131" t="n">
        <x:v>1</x:v>
      </x:c>
      <x:c r="I52" s="131" t="n">
        <x:v>1</x:v>
      </x:c>
      <x:c r="J52" s="131" t="n">
        <x:v>1</x:v>
      </x:c>
      <x:c r="K52" s="132" t="n">
        <x:f>D52*2+E52*2+F52*2+G52*2+H52+I52+J52</x:f>
        <x:v>7</x:v>
      </x:c>
      <x:c r="L52" s="133" t="str">
        <x:f>IF(K52&gt;=6,"高介绍",IF(K52&gt;=3,"中介绍",IF(K52&gt;=1,"低介绍","未介绍")))</x:f>
        <x:v>高介绍</x:v>
      </x:c>
      <x:c r="M52" s="130" t="str">
        <x:v>Title: g Cushion, Massage Game Chair Cloth with Headrest, Ergonomic Computer Chair with Footrest 290LBS, Black | Image 2–4: 商品副图视觉/文案明确命中 | 后部副图: 商品副图视觉/文案明确命中 | Bullet 3–5: ls: We have upgraded the fixings for the backrest of this gaming desk chair. The backrest fixed with steel plate can withstand more than 200lbs of impact. And the fixing screws are distributed in | A+其他: g long sitting sessions. Perfect for work or relaxation, this cushion ensures lasting comfort, making it an ideal addition to any chair. Say goodbye to fatigue and hello to extended, effortless s</x:v>
      </x:c>
      <x:c r="N52" s="130" t="str">
        <x:v>https://www.amazon.com/dp/B0D4YV8KZR</x:v>
      </x:c>
      <x:c r="O52" s="130" t="str">
        <x:v>已验证</x:v>
      </x:c>
    </x:row>
    <x:row r="53" ht="48" customHeight="1">
      <x:c r="A53" s="204" t="str">
        <x:v>B0D4YV8KZR</x:v>
      </x:c>
      <x:c r="B53" s="130" t="str">
        <x:v>Work</x:v>
      </x:c>
      <x:c r="C53" s="142" t="str">
        <x:v>用途</x:v>
      </x:c>
      <x:c r="D53" s="131" t="n">
        <x:v>0</x:v>
      </x:c>
      <x:c r="E53" s="131" t="n">
        <x:v>1</x:v>
      </x:c>
      <x:c r="F53" s="131" t="n">
        <x:v>1</x:v>
      </x:c>
      <x:c r="G53" s="131" t="n">
        <x:v>0</x:v>
      </x:c>
      <x:c r="H53" s="131" t="n">
        <x:v>0</x:v>
      </x:c>
      <x:c r="I53" s="131" t="n">
        <x:v>1</x:v>
      </x:c>
      <x:c r="J53" s="131" t="n">
        <x:v>1</x:v>
      </x:c>
      <x:c r="K53" s="132" t="n">
        <x:f>D53*2+E53*2+F53*2+G53*2+H53+I53+J53</x:f>
        <x:v>6</x:v>
      </x:c>
      <x:c r="L53" s="133" t="str">
        <x:f>IF(K53&gt;=6,"高介绍",IF(K53&gt;=3,"中介绍",IF(K53&gt;=1,"低介绍","未介绍")))</x:f>
        <x:v>高介绍</x:v>
      </x:c>
      <x:c r="M53" s="130" t="str">
        <x:v>Image 2–4: 商品副图视觉/文案明确命中 | Bullet 1–2: ting on it, and it will be easier to improve work efficiency. | Bullet 3–5:  the fixings for the backrest of this gaming desk chair. The backrest fixed with steel plate can withstand more than 200lbs of impact. And the fixing screws are distributed in a triangle, which s | A+其他: en during long sitting sessions. Perfect for work or relaxation, this cushion ensures lasting comfort, making it an ideal addition to any chair. Say goodbye to fatigue and hello to extended, effo</x:v>
      </x:c>
      <x:c r="N53" s="130" t="str">
        <x:v>https://www.amazon.com/dp/B0D4YV8KZR</x:v>
      </x:c>
      <x:c r="O53" s="130" t="str">
        <x:v>已验证</x:v>
      </x:c>
    </x:row>
    <x:row r="54" ht="48" customHeight="1">
      <x:c r="A54" s="204" t="str">
        <x:v>B0D4YV8KZR</x:v>
      </x:c>
      <x:c r="B54" s="130" t="str">
        <x:v>Computer Use</x:v>
      </x:c>
      <x:c r="C54" s="142" t="str">
        <x:v>用途</x:v>
      </x:c>
      <x:c r="D54" s="131" t="n">
        <x:v>1</x:v>
      </x:c>
      <x:c r="E54" s="131" t="n">
        <x:v>0</x:v>
      </x:c>
      <x:c r="F54" s="131" t="n">
        <x:v>0</x:v>
      </x:c>
      <x:c r="G54" s="131" t="n">
        <x:v>0</x:v>
      </x:c>
      <x:c r="H54" s="131" t="n">
        <x:v>0</x:v>
      </x:c>
      <x:c r="I54" s="131" t="n">
        <x:v>1</x:v>
      </x:c>
      <x:c r="J54" s="131" t="n">
        <x:v>0</x:v>
      </x:c>
      <x:c r="K54" s="132" t="n">
        <x:f>D54*2+E54*2+F54*2+G54*2+H54+I54+J54</x:f>
        <x:v>3</x:v>
      </x:c>
      <x:c r="L54" s="133" t="str">
        <x:f>IF(K54&gt;=6,"高介绍",IF(K54&gt;=3,"中介绍",IF(K54&gt;=1,"低介绍","未介绍")))</x:f>
        <x:v>中介绍</x:v>
      </x:c>
      <x:c r="M54" s="130" t="str">
        <x:v>Title: ge Game Chair Cloth with Headrest, Ergonomic Computer Chair with Footrest 290LBS, Black | Bullet 3–5:  strain on your lower back. We designed this computer gaming chair specifically for the undersized guy, both adults and teens. （Please confirm that the chair size and your body type match） High Q</x:v>
      </x:c>
      <x:c r="N54" s="130" t="str">
        <x:v>https://www.amazon.com/dp/B0D4YV8KZR</x:v>
      </x:c>
      <x:c r="O54" s="130" t="str">
        <x:v>已验证</x:v>
      </x:c>
    </x:row>
    <x:row r="55" ht="48" customHeight="1">
      <x:c r="A55" s="204" t="str">
        <x:v>B0D4YV8KZR</x:v>
      </x:c>
      <x:c r="B55" s="130" t="str">
        <x:v>Reading</x:v>
      </x:c>
      <x:c r="C55" s="142" t="str">
        <x:v>用途</x:v>
      </x:c>
      <x:c r="D55" s="131" t="n">
        <x:v>0</x:v>
      </x:c>
      <x:c r="E55" s="131" t="n">
        <x:v>0</x:v>
      </x:c>
      <x:c r="F55" s="131" t="n">
        <x:v>0</x:v>
      </x:c>
      <x:c r="G55" s="131" t="n">
        <x:v>0</x:v>
      </x:c>
      <x:c r="H55" s="131" t="n">
        <x:v>0</x:v>
      </x:c>
      <x:c r="I55" s="131" t="n">
        <x:v>0</x:v>
      </x:c>
      <x:c r="J55" s="131" t="n">
        <x:v>0</x:v>
      </x:c>
      <x:c r="K55" s="132" t="n">
        <x:f>D55*2+E55*2+F55*2+G55*2+H55+I55+J55</x:f>
        <x:v>0</x:v>
      </x:c>
      <x:c r="L55" s="133" t="str">
        <x:f>IF(K55&gt;=6,"高介绍",IF(K55&gt;=3,"中介绍",IF(K55&gt;=1,"低介绍","未介绍")))</x:f>
        <x:v>未介绍</x:v>
      </x:c>
      <x:c r="M55" s="130" t="str">
        <x:v>Listing 已核验，未发现该标签的明确资源位表达</x:v>
      </x:c>
      <x:c r="N55" s="130" t="str">
        <x:v>https://www.amazon.com/dp/B0D4YV8KZR</x:v>
      </x:c>
      <x:c r="O55" s="130" t="str">
        <x:v>已验证</x:v>
      </x:c>
    </x:row>
    <x:row r="56" ht="48" customHeight="1">
      <x:c r="A56" s="204" t="str">
        <x:v>B0D4YV8KZR</x:v>
      </x:c>
      <x:c r="B56" s="130" t="str">
        <x:v>Study</x:v>
      </x:c>
      <x:c r="C56" s="142" t="str">
        <x:v>用途</x:v>
      </x:c>
      <x:c r="D56" s="131" t="n">
        <x:v>0</x:v>
      </x:c>
      <x:c r="E56" s="131" t="n">
        <x:v>0</x:v>
      </x:c>
      <x:c r="F56" s="131" t="n">
        <x:v>0</x:v>
      </x:c>
      <x:c r="G56" s="131" t="n">
        <x:v>0</x:v>
      </x:c>
      <x:c r="H56" s="131" t="n">
        <x:v>0</x:v>
      </x:c>
      <x:c r="I56" s="131" t="n">
        <x:v>0</x:v>
      </x:c>
      <x:c r="J56" s="131" t="n">
        <x:v>0</x:v>
      </x:c>
      <x:c r="K56" s="132" t="n">
        <x:f>D56*2+E56*2+F56*2+G56*2+H56+I56+J56</x:f>
        <x:v>0</x:v>
      </x:c>
      <x:c r="L56" s="133" t="str">
        <x:f>IF(K56&gt;=6,"高介绍",IF(K56&gt;=3,"中介绍",IF(K56&gt;=1,"低介绍","未介绍")))</x:f>
        <x:v>未介绍</x:v>
      </x:c>
      <x:c r="M56" s="130" t="str">
        <x:v>Listing 已核验，未发现该标签的明确资源位表达</x:v>
      </x:c>
      <x:c r="N56" s="130" t="str">
        <x:v>https://www.amazon.com/dp/B0D4YV8KZR</x:v>
      </x:c>
      <x:c r="O56" s="130" t="str">
        <x:v>已验证</x:v>
      </x:c>
    </x:row>
    <x:row r="57" ht="48" customHeight="1">
      <x:c r="A57" s="205" t="str">
        <x:v>B0DDCK8JPB</x:v>
      </x:c>
      <x:c r="B57" s="146" t="str">
        <x:v>Gamers</x:v>
      </x:c>
      <x:c r="C57" s="129" t="str">
        <x:v>人群</x:v>
      </x:c>
      <x:c r="D57" s="147" t="n">
        <x:v>1</x:v>
      </x:c>
      <x:c r="E57" s="147" t="n">
        <x:v>0</x:v>
      </x:c>
      <x:c r="F57" s="147" t="n">
        <x:v>1</x:v>
      </x:c>
      <x:c r="G57" s="147" t="n">
        <x:v>1</x:v>
      </x:c>
      <x:c r="H57" s="147" t="n">
        <x:v>1</x:v>
      </x:c>
      <x:c r="I57" s="147" t="n">
        <x:v>1</x:v>
      </x:c>
      <x:c r="J57" s="147" t="n">
        <x:v>1</x:v>
      </x:c>
      <x:c r="K57" s="148" t="n">
        <x:f>D57*2+E57*2+F57*2+G57*2+H57+I57+J57</x:f>
        <x:v>9</x:v>
      </x:c>
      <x:c r="L57" s="149" t="str">
        <x:f>IF(K57&gt;=6,"高介绍",IF(K57&gt;=3,"中介绍",IF(K57&gt;=1,"低介绍","未介绍")))</x:f>
        <x:v>高介绍</x:v>
      </x:c>
      <x:c r="M57" s="146" t="str">
        <x:v>Title: Dowinx Fabric Gaming Chair, Ergonomic Computer Chair with Footrest and Pocket Spring Cushion, Height Adjustable Video Gamer Chair with Lumbar Support for Adults, Bl | Bullet 1–2: Sofa-Level Comfort with Pocket Springs: The gaming chair is crafted with an advanced pocket spring cushion, offering you sofa-level comfort for long-lasting relaxation. The individual springs ev | A+核心: gaming chair | 后部副图: 商品副图视觉/文案明确命中 | Bullet 3–5: esigned with a spacious, wingless seat, this game chair accommodates all gamers, regardless of size. The ergonomic design allows you to easily adjust your posture, whether shifting, stretching, o | A+其他: gaming chair | gaming chair | gaming chair | Previous page Next page | gaming chair | Previous page Next page 1 MASSAGE FUNCTION 2 RETRACTABLE FOOTRES</x:v>
      </x:c>
      <x:c r="N57" s="146" t="str">
        <x:v>https://www.amazon.com/dp/B0DDCK8JPB</x:v>
      </x:c>
      <x:c r="O57" s="146" t="str">
        <x:v>已验证</x:v>
      </x:c>
    </x:row>
    <x:row r="58" ht="48" customHeight="1">
      <x:c r="A58" s="206" t="str">
        <x:v>B0DDCK8JPB</x:v>
      </x:c>
      <x:c r="B58" s="150" t="str">
        <x:v>Comfort Seekers</x:v>
      </x:c>
      <x:c r="C58" s="136" t="str">
        <x:v>人群</x:v>
      </x:c>
      <x:c r="D58" s="151" t="n">
        <x:v>0</x:v>
      </x:c>
      <x:c r="E58" s="151" t="n">
        <x:v>1</x:v>
      </x:c>
      <x:c r="F58" s="151" t="n">
        <x:v>1</x:v>
      </x:c>
      <x:c r="G58" s="151" t="n">
        <x:v>0</x:v>
      </x:c>
      <x:c r="H58" s="151" t="n">
        <x:v>1</x:v>
      </x:c>
      <x:c r="I58" s="151" t="n">
        <x:v>1</x:v>
      </x:c>
      <x:c r="J58" s="151" t="n">
        <x:v>0</x:v>
      </x:c>
      <x:c r="K58" s="152" t="n">
        <x:f>D58*2+E58*2+F58*2+G58*2+H58+I58+J58</x:f>
        <x:v>6</x:v>
      </x:c>
      <x:c r="L58" s="153" t="str">
        <x:f>IF(K58&gt;=6,"高介绍",IF(K58&gt;=3,"中介绍",IF(K58&gt;=1,"低介绍","未介绍")))</x:f>
        <x:v>高介绍</x:v>
      </x:c>
      <x:c r="M58" s="150" t="str">
        <x:v>Image 2–4: 商品副图视觉/文案明确命中 | Bullet 1–2: Sofa-Level Comfort with Pocket Springs: The gaming chair is crafted with an advanced pocket spring cushion, offering you sofa-level comfort for long-lasting rela | 后部副图: 商品副图视觉/文案明确命中 | Bullet 3–5: crossing your legs. Enjoy the freedom to sit comfortably for hours in this roomy gaming chair for adults. Adjustable Ease for Play and Relax:Whether gaming, working, or relaxing, this gaming chai</x:v>
      </x:c>
      <x:c r="N58" s="150" t="str">
        <x:v>https://www.amazon.com/dp/B0DDCK8JPB</x:v>
      </x:c>
      <x:c r="O58" s="150" t="str">
        <x:v>已验证</x:v>
      </x:c>
    </x:row>
    <x:row r="59" ht="48" customHeight="1">
      <x:c r="A59" s="206" t="str">
        <x:v>B0DDCK8JPB</x:v>
      </x:c>
      <x:c r="B59" s="150" t="str">
        <x:v>Content Creators / Streamers</x:v>
      </x:c>
      <x:c r="C59" s="136" t="str">
        <x:v>人群</x:v>
      </x:c>
      <x:c r="D59" s="151" t="n">
        <x:v>0</x:v>
      </x:c>
      <x:c r="E59" s="151" t="n">
        <x:v>0</x:v>
      </x:c>
      <x:c r="F59" s="151" t="n">
        <x:v>0</x:v>
      </x:c>
      <x:c r="G59" s="151" t="n">
        <x:v>0</x:v>
      </x:c>
      <x:c r="H59" s="151" t="n">
        <x:v>0</x:v>
      </x:c>
      <x:c r="I59" s="151" t="n">
        <x:v>0</x:v>
      </x:c>
      <x:c r="J59" s="151" t="n">
        <x:v>0</x:v>
      </x:c>
      <x:c r="K59" s="152" t="n">
        <x:f>D59*2+E59*2+F59*2+G59*2+H59+I59+J59</x:f>
        <x:v>0</x:v>
      </x:c>
      <x:c r="L59" s="153" t="str">
        <x:f>IF(K59&gt;=6,"高介绍",IF(K59&gt;=3,"中介绍",IF(K59&gt;=1,"低介绍","未介绍")))</x:f>
        <x:v>未介绍</x:v>
      </x:c>
      <x:c r="M59" s="150" t="str">
        <x:v>Listing 已核验，未发现该标签的明确资源位表达</x:v>
      </x:c>
      <x:c r="N59" s="150" t="str">
        <x:v>https://www.amazon.com/dp/B0DDCK8JPB</x:v>
      </x:c>
      <x:c r="O59" s="150" t="str">
        <x:v>已验证</x:v>
      </x:c>
    </x:row>
    <x:row r="60" ht="48" customHeight="1">
      <x:c r="A60" s="206" t="str">
        <x:v>B0DDCK8JPB</x:v>
      </x:c>
      <x:c r="B60" s="150" t="str">
        <x:v>Office Workers</x:v>
      </x:c>
      <x:c r="C60" s="136" t="str">
        <x:v>人群</x:v>
      </x:c>
      <x:c r="D60" s="151" t="n">
        <x:v>0</x:v>
      </x:c>
      <x:c r="E60" s="151" t="n">
        <x:v>0</x:v>
      </x:c>
      <x:c r="F60" s="151" t="n">
        <x:v>0</x:v>
      </x:c>
      <x:c r="G60" s="151" t="n">
        <x:v>0</x:v>
      </x:c>
      <x:c r="H60" s="151" t="n">
        <x:v>0</x:v>
      </x:c>
      <x:c r="I60" s="151" t="n">
        <x:v>0</x:v>
      </x:c>
      <x:c r="J60" s="151" t="n">
        <x:v>0</x:v>
      </x:c>
      <x:c r="K60" s="152" t="n">
        <x:f>D60*2+E60*2+F60*2+G60*2+H60+I60+J60</x:f>
        <x:v>0</x:v>
      </x:c>
      <x:c r="L60" s="153" t="str">
        <x:f>IF(K60&gt;=6,"高介绍",IF(K60&gt;=3,"中介绍",IF(K60&gt;=1,"低介绍","未介绍")))</x:f>
        <x:v>未介绍</x:v>
      </x:c>
      <x:c r="M60" s="150" t="str">
        <x:v>Listing 已核验，未发现该标签的明确资源位表达</x:v>
      </x:c>
      <x:c r="N60" s="150" t="str">
        <x:v>https://www.amazon.com/dp/B0DDCK8JPB</x:v>
      </x:c>
      <x:c r="O60" s="150" t="str">
        <x:v>已验证</x:v>
      </x:c>
    </x:row>
    <x:row r="61" ht="48" customHeight="1">
      <x:c r="A61" s="206" t="str">
        <x:v>B0DDCK8JPB</x:v>
      </x:c>
      <x:c r="B61" s="150" t="str">
        <x:v>Readers</x:v>
      </x:c>
      <x:c r="C61" s="136" t="str">
        <x:v>人群</x:v>
      </x:c>
      <x:c r="D61" s="151" t="n">
        <x:v>0</x:v>
      </x:c>
      <x:c r="E61" s="151" t="n">
        <x:v>0</x:v>
      </x:c>
      <x:c r="F61" s="151" t="n">
        <x:v>0</x:v>
      </x:c>
      <x:c r="G61" s="151" t="n">
        <x:v>0</x:v>
      </x:c>
      <x:c r="H61" s="151" t="n">
        <x:v>0</x:v>
      </x:c>
      <x:c r="I61" s="151" t="n">
        <x:v>0</x:v>
      </x:c>
      <x:c r="J61" s="151" t="n">
        <x:v>0</x:v>
      </x:c>
      <x:c r="K61" s="152" t="n">
        <x:f>D61*2+E61*2+F61*2+G61*2+H61+I61+J61</x:f>
        <x:v>0</x:v>
      </x:c>
      <x:c r="L61" s="153" t="str">
        <x:f>IF(K61&gt;=6,"高介绍",IF(K61&gt;=3,"中介绍",IF(K61&gt;=1,"低介绍","未介绍")))</x:f>
        <x:v>未介绍</x:v>
      </x:c>
      <x:c r="M61" s="150" t="str">
        <x:v>Listing 已核验，未发现该标签的明确资源位表达</x:v>
      </x:c>
      <x:c r="N61" s="150" t="str">
        <x:v>https://www.amazon.com/dp/B0DDCK8JPB</x:v>
      </x:c>
      <x:c r="O61" s="150" t="str">
        <x:v>已验证</x:v>
      </x:c>
    </x:row>
    <x:row r="62" ht="48" customHeight="1">
      <x:c r="A62" s="206" t="str">
        <x:v>B0DDCK8JPB</x:v>
      </x:c>
      <x:c r="B62" s="150" t="str">
        <x:v>Remote Workers</x:v>
      </x:c>
      <x:c r="C62" s="136" t="str">
        <x:v>人群</x:v>
      </x:c>
      <x:c r="D62" s="151" t="n">
        <x:v>0</x:v>
      </x:c>
      <x:c r="E62" s="151" t="n">
        <x:v>0</x:v>
      </x:c>
      <x:c r="F62" s="151" t="n">
        <x:v>0</x:v>
      </x:c>
      <x:c r="G62" s="151" t="n">
        <x:v>0</x:v>
      </x:c>
      <x:c r="H62" s="151" t="n">
        <x:v>0</x:v>
      </x:c>
      <x:c r="I62" s="151" t="n">
        <x:v>0</x:v>
      </x:c>
      <x:c r="J62" s="151" t="n">
        <x:v>0</x:v>
      </x:c>
      <x:c r="K62" s="152" t="n">
        <x:f>D62*2+E62*2+F62*2+G62*2+H62+I62+J62</x:f>
        <x:v>0</x:v>
      </x:c>
      <x:c r="L62" s="153" t="str">
        <x:f>IF(K62&gt;=6,"高介绍",IF(K62&gt;=3,"中介绍",IF(K62&gt;=1,"低介绍","未介绍")))</x:f>
        <x:v>未介绍</x:v>
      </x:c>
      <x:c r="M62" s="150" t="str">
        <x:v>Listing 已核验，未发现该标签的明确资源位表达</x:v>
      </x:c>
      <x:c r="N62" s="150" t="str">
        <x:v>https://www.amazon.com/dp/B0DDCK8JPB</x:v>
      </x:c>
      <x:c r="O62" s="150" t="str">
        <x:v>已验证</x:v>
      </x:c>
    </x:row>
    <x:row r="63" ht="48" customHeight="1">
      <x:c r="A63" s="206" t="str">
        <x:v>B0DDCK8JPB</x:v>
      </x:c>
      <x:c r="B63" s="150" t="str">
        <x:v>Students</x:v>
      </x:c>
      <x:c r="C63" s="136" t="str">
        <x:v>人群</x:v>
      </x:c>
      <x:c r="D63" s="151" t="n">
        <x:v>0</x:v>
      </x:c>
      <x:c r="E63" s="151" t="n">
        <x:v>0</x:v>
      </x:c>
      <x:c r="F63" s="151" t="n">
        <x:v>0</x:v>
      </x:c>
      <x:c r="G63" s="151" t="n">
        <x:v>0</x:v>
      </x:c>
      <x:c r="H63" s="151" t="n">
        <x:v>0</x:v>
      </x:c>
      <x:c r="I63" s="151" t="n">
        <x:v>0</x:v>
      </x:c>
      <x:c r="J63" s="151" t="n">
        <x:v>0</x:v>
      </x:c>
      <x:c r="K63" s="152" t="n">
        <x:f>D63*2+E63*2+F63*2+G63*2+H63+I63+J63</x:f>
        <x:v>0</x:v>
      </x:c>
      <x:c r="L63" s="153" t="str">
        <x:f>IF(K63&gt;=6,"高介绍",IF(K63&gt;=3,"中介绍",IF(K63&gt;=1,"低介绍","未介绍")))</x:f>
        <x:v>未介绍</x:v>
      </x:c>
      <x:c r="M63" s="150" t="str">
        <x:v>Listing 已核验，未发现该标签的明确资源位表达</x:v>
      </x:c>
      <x:c r="N63" s="150" t="str">
        <x:v>https://www.amazon.com/dp/B0DDCK8JPB</x:v>
      </x:c>
      <x:c r="O63" s="150" t="str">
        <x:v>已验证</x:v>
      </x:c>
    </x:row>
    <x:row r="64" ht="48" customHeight="1">
      <x:c r="A64" s="206" t="str">
        <x:v>B0DDCK8JPB</x:v>
      </x:c>
      <x:c r="B64" s="150" t="str">
        <x:v>Entertainment / Leisure Space</x:v>
      </x:c>
      <x:c r="C64" s="139" t="str">
        <x:v>场景</x:v>
      </x:c>
      <x:c r="D64" s="151" t="n">
        <x:v>0</x:v>
      </x:c>
      <x:c r="E64" s="151" t="n">
        <x:v>0</x:v>
      </x:c>
      <x:c r="F64" s="151" t="n">
        <x:v>1</x:v>
      </x:c>
      <x:c r="G64" s="151" t="n">
        <x:v>0</x:v>
      </x:c>
      <x:c r="H64" s="151" t="n">
        <x:v>0</x:v>
      </x:c>
      <x:c r="I64" s="151" t="n">
        <x:v>1</x:v>
      </x:c>
      <x:c r="J64" s="151" t="n">
        <x:v>0</x:v>
      </x:c>
      <x:c r="K64" s="152" t="n">
        <x:f>D64*2+E64*2+F64*2+G64*2+H64+I64+J64</x:f>
        <x:v>3</x:v>
      </x:c>
      <x:c r="L64" s="153" t="str">
        <x:f>IF(K64&gt;=6,"高介绍",IF(K64&gt;=3,"中介绍",IF(K64&gt;=1,"低介绍","未介绍")))</x:f>
        <x:v>中介绍</x:v>
      </x:c>
      <x:c r="M64" s="150" t="str">
        <x:v>Bullet 1–2: ring you sofa-level comfort for long-lasting relaxation. The individual springs evenly distribute pressure, ensuring superior ergonomic support. Perfect for extended gaming or work sessions, this | Bullet 3–5: air for adults. Adjustable Ease for Play and Relax:Whether gaming, working, or relaxing, this gaming chair with footrest ensures comfort. The backrest adjusts from 90° to 135°, with an extendable</x:v>
      </x:c>
      <x:c r="N64" s="150" t="str">
        <x:v>https://www.amazon.com/dp/B0DDCK8JPB</x:v>
      </x:c>
      <x:c r="O64" s="150" t="str">
        <x:v>已验证</x:v>
      </x:c>
    </x:row>
    <x:row r="65" ht="48" customHeight="1">
      <x:c r="A65" s="206" t="str">
        <x:v>B0DDCK8JPB</x:v>
      </x:c>
      <x:c r="B65" s="150" t="str">
        <x:v>Office / Workspace</x:v>
      </x:c>
      <x:c r="C65" s="139" t="str">
        <x:v>场景</x:v>
      </x:c>
      <x:c r="D65" s="151" t="n">
        <x:v>0</x:v>
      </x:c>
      <x:c r="E65" s="151" t="n">
        <x:v>0</x:v>
      </x:c>
      <x:c r="F65" s="151" t="n">
        <x:v>0</x:v>
      </x:c>
      <x:c r="G65" s="151" t="n">
        <x:v>0</x:v>
      </x:c>
      <x:c r="H65" s="151" t="n">
        <x:v>1</x:v>
      </x:c>
      <x:c r="I65" s="151" t="n">
        <x:v>0</x:v>
      </x:c>
      <x:c r="J65" s="151" t="n">
        <x:v>0</x:v>
      </x:c>
      <x:c r="K65" s="152" t="n">
        <x:f>D65*2+E65*2+F65*2+G65*2+H65+I65+J65</x:f>
        <x:v>1</x:v>
      </x:c>
      <x:c r="L65" s="153" t="str">
        <x:f>IF(K65&gt;=6,"高介绍",IF(K65&gt;=3,"中介绍",IF(K65&gt;=1,"低介绍","未介绍")))</x:f>
        <x:v>低介绍</x:v>
      </x:c>
      <x:c r="M65" s="150" t="str">
        <x:v>后部副图: 商品副图视觉/文案明确命中</x:v>
      </x:c>
      <x:c r="N65" s="150" t="str">
        <x:v>https://www.amazon.com/dp/B0DDCK8JPB</x:v>
      </x:c>
      <x:c r="O65" s="150" t="str">
        <x:v>已验证</x:v>
      </x:c>
    </x:row>
    <x:row r="66" ht="48" customHeight="1">
      <x:c r="A66" s="206" t="str">
        <x:v>B0DDCK8JPB</x:v>
      </x:c>
      <x:c r="B66" s="150" t="str">
        <x:v>Bedroom</x:v>
      </x:c>
      <x:c r="C66" s="139" t="str">
        <x:v>场景</x:v>
      </x:c>
      <x:c r="D66" s="151" t="n">
        <x:v>0</x:v>
      </x:c>
      <x:c r="E66" s="151" t="n">
        <x:v>0</x:v>
      </x:c>
      <x:c r="F66" s="151" t="n">
        <x:v>0</x:v>
      </x:c>
      <x:c r="G66" s="151" t="n">
        <x:v>0</x:v>
      </x:c>
      <x:c r="H66" s="151" t="n">
        <x:v>0</x:v>
      </x:c>
      <x:c r="I66" s="151" t="n">
        <x:v>0</x:v>
      </x:c>
      <x:c r="J66" s="151" t="n">
        <x:v>0</x:v>
      </x:c>
      <x:c r="K66" s="152" t="n">
        <x:f>D66*2+E66*2+F66*2+G66*2+H66+I66+J66</x:f>
        <x:v>0</x:v>
      </x:c>
      <x:c r="L66" s="153" t="str">
        <x:f>IF(K66&gt;=6,"高介绍",IF(K66&gt;=3,"中介绍",IF(K66&gt;=1,"低介绍","未介绍")))</x:f>
        <x:v>未介绍</x:v>
      </x:c>
      <x:c r="M66" s="150" t="str">
        <x:v>Listing 已核验，未发现该标签的明确资源位表达</x:v>
      </x:c>
      <x:c r="N66" s="150" t="str">
        <x:v>https://www.amazon.com/dp/B0DDCK8JPB</x:v>
      </x:c>
      <x:c r="O66" s="150" t="str">
        <x:v>已验证</x:v>
      </x:c>
    </x:row>
    <x:row r="67" ht="48" customHeight="1">
      <x:c r="A67" s="206" t="str">
        <x:v>B0DDCK8JPB</x:v>
      </x:c>
      <x:c r="B67" s="150" t="str">
        <x:v>Gaming Room / Setup</x:v>
      </x:c>
      <x:c r="C67" s="139" t="str">
        <x:v>场景</x:v>
      </x:c>
      <x:c r="D67" s="151" t="n">
        <x:v>0</x:v>
      </x:c>
      <x:c r="E67" s="151" t="n">
        <x:v>0</x:v>
      </x:c>
      <x:c r="F67" s="151" t="n">
        <x:v>0</x:v>
      </x:c>
      <x:c r="G67" s="151" t="n">
        <x:v>0</x:v>
      </x:c>
      <x:c r="H67" s="151" t="n">
        <x:v>0</x:v>
      </x:c>
      <x:c r="I67" s="151" t="n">
        <x:v>0</x:v>
      </x:c>
      <x:c r="J67" s="151" t="n">
        <x:v>0</x:v>
      </x:c>
      <x:c r="K67" s="152" t="n">
        <x:f>D67*2+E67*2+F67*2+G67*2+H67+I67+J67</x:f>
        <x:v>0</x:v>
      </x:c>
      <x:c r="L67" s="153" t="str">
        <x:f>IF(K67&gt;=6,"高介绍",IF(K67&gt;=3,"中介绍",IF(K67&gt;=1,"低介绍","未介绍")))</x:f>
        <x:v>未介绍</x:v>
      </x:c>
      <x:c r="M67" s="150" t="str">
        <x:v>Listing 已核验，未发现该标签的明确资源位表达</x:v>
      </x:c>
      <x:c r="N67" s="150" t="str">
        <x:v>https://www.amazon.com/dp/B0DDCK8JPB</x:v>
      </x:c>
      <x:c r="O67" s="150" t="str">
        <x:v>已验证</x:v>
      </x:c>
    </x:row>
    <x:row r="68" ht="48" customHeight="1">
      <x:c r="A68" s="206" t="str">
        <x:v>B0DDCK8JPB</x:v>
      </x:c>
      <x:c r="B68" s="150" t="str">
        <x:v>Home Office</x:v>
      </x:c>
      <x:c r="C68" s="139" t="str">
        <x:v>场景</x:v>
      </x:c>
      <x:c r="D68" s="151" t="n">
        <x:v>0</x:v>
      </x:c>
      <x:c r="E68" s="151" t="n">
        <x:v>0</x:v>
      </x:c>
      <x:c r="F68" s="151" t="n">
        <x:v>0</x:v>
      </x:c>
      <x:c r="G68" s="151" t="n">
        <x:v>0</x:v>
      </x:c>
      <x:c r="H68" s="151" t="n">
        <x:v>0</x:v>
      </x:c>
      <x:c r="I68" s="151" t="n">
        <x:v>0</x:v>
      </x:c>
      <x:c r="J68" s="151" t="n">
        <x:v>0</x:v>
      </x:c>
      <x:c r="K68" s="152" t="n">
        <x:f>D68*2+E68*2+F68*2+G68*2+H68+I68+J68</x:f>
        <x:v>0</x:v>
      </x:c>
      <x:c r="L68" s="153" t="str">
        <x:f>IF(K68&gt;=6,"高介绍",IF(K68&gt;=3,"中介绍",IF(K68&gt;=1,"低介绍","未介绍")))</x:f>
        <x:v>未介绍</x:v>
      </x:c>
      <x:c r="M68" s="150" t="str">
        <x:v>Listing 已核验，未发现该标签的明确资源位表达</x:v>
      </x:c>
      <x:c r="N68" s="150" t="str">
        <x:v>https://www.amazon.com/dp/B0DDCK8JPB</x:v>
      </x:c>
      <x:c r="O68" s="150" t="str">
        <x:v>已验证</x:v>
      </x:c>
    </x:row>
    <x:row r="69" ht="48" customHeight="1">
      <x:c r="A69" s="206" t="str">
        <x:v>B0DDCK8JPB</x:v>
      </x:c>
      <x:c r="B69" s="150" t="str">
        <x:v>Study Area</x:v>
      </x:c>
      <x:c r="C69" s="139" t="str">
        <x:v>场景</x:v>
      </x:c>
      <x:c r="D69" s="151" t="n">
        <x:v>0</x:v>
      </x:c>
      <x:c r="E69" s="151" t="n">
        <x:v>0</x:v>
      </x:c>
      <x:c r="F69" s="151" t="n">
        <x:v>0</x:v>
      </x:c>
      <x:c r="G69" s="151" t="n">
        <x:v>0</x:v>
      </x:c>
      <x:c r="H69" s="151" t="n">
        <x:v>0</x:v>
      </x:c>
      <x:c r="I69" s="151" t="n">
        <x:v>0</x:v>
      </x:c>
      <x:c r="J69" s="151" t="n">
        <x:v>0</x:v>
      </x:c>
      <x:c r="K69" s="152" t="n">
        <x:f>D69*2+E69*2+F69*2+G69*2+H69+I69+J69</x:f>
        <x:v>0</x:v>
      </x:c>
      <x:c r="L69" s="153" t="str">
        <x:f>IF(K69&gt;=6,"高介绍",IF(K69&gt;=3,"中介绍",IF(K69&gt;=1,"低介绍","未介绍")))</x:f>
        <x:v>未介绍</x:v>
      </x:c>
      <x:c r="M69" s="150" t="str">
        <x:v>Listing 已核验，未发现该标签的明确资源位表达</x:v>
      </x:c>
      <x:c r="N69" s="150" t="str">
        <x:v>https://www.amazon.com/dp/B0DDCK8JPB</x:v>
      </x:c>
      <x:c r="O69" s="150" t="str">
        <x:v>已验证</x:v>
      </x:c>
    </x:row>
    <x:row r="70" ht="48" customHeight="1">
      <x:c r="A70" s="206" t="str">
        <x:v>B0DDCK8JPB</x:v>
      </x:c>
      <x:c r="B70" s="150" t="str">
        <x:v>Gaming</x:v>
      </x:c>
      <x:c r="C70" s="142" t="str">
        <x:v>用途</x:v>
      </x:c>
      <x:c r="D70" s="151" t="n">
        <x:v>1</x:v>
      </x:c>
      <x:c r="E70" s="151" t="n">
        <x:v>0</x:v>
      </x:c>
      <x:c r="F70" s="151" t="n">
        <x:v>1</x:v>
      </x:c>
      <x:c r="G70" s="151" t="n">
        <x:v>1</x:v>
      </x:c>
      <x:c r="H70" s="151" t="n">
        <x:v>1</x:v>
      </x:c>
      <x:c r="I70" s="151" t="n">
        <x:v>1</x:v>
      </x:c>
      <x:c r="J70" s="151" t="n">
        <x:v>1</x:v>
      </x:c>
      <x:c r="K70" s="152" t="n">
        <x:f>D70*2+E70*2+F70*2+G70*2+H70+I70+J70</x:f>
        <x:v>9</x:v>
      </x:c>
      <x:c r="L70" s="153" t="str">
        <x:f>IF(K70&gt;=6,"高介绍",IF(K70&gt;=3,"中介绍",IF(K70&gt;=1,"低介绍","未介绍")))</x:f>
        <x:v>高介绍</x:v>
      </x:c>
      <x:c r="M70" s="150" t="str">
        <x:v>Title: Dowinx Fabric Gaming Chair, Ergonomic Computer Chair with Footrest and Pocket Spring Cushion, Height Adjustable Video Gamer Chair with Lumbar Support for Adults, Bl | Bullet 1–2: Sofa-Level Comfort with Pocket Springs: The gaming chair is crafted with an advanced pocket spring cushion, offering you sofa-level comfort for long-lasting relaxation. The individual springs ev | A+核心: gaming chair | 后部副图: 商品副图视觉/文案明确命中 | Bullet 3–5: esigned with a spacious, wingless seat, this game chair accommodates all gamers, regardless of size. The ergonomic design allows you to easily adjust your posture, whether shifting, stretching, o | A+其他: gaming chair | gaming chair | gaming chair | Previous page Next page | gaming chair | Previous page Next page 1 MASSAGE FUNCTION 2 RETRACTABLE FOOTRES</x:v>
      </x:c>
      <x:c r="N70" s="150" t="str">
        <x:v>https://www.amazon.com/dp/B0DDCK8JPB</x:v>
      </x:c>
      <x:c r="O70" s="150" t="str">
        <x:v>已验证</x:v>
      </x:c>
    </x:row>
    <x:row r="71" ht="48" customHeight="1">
      <x:c r="A71" s="206" t="str">
        <x:v>B0DDCK8JPB</x:v>
      </x:c>
      <x:c r="B71" s="150" t="str">
        <x:v>Relaxing</x:v>
      </x:c>
      <x:c r="C71" s="142" t="str">
        <x:v>用途</x:v>
      </x:c>
      <x:c r="D71" s="151" t="n">
        <x:v>1</x:v>
      </x:c>
      <x:c r="E71" s="151" t="n">
        <x:v>0</x:v>
      </x:c>
      <x:c r="F71" s="151" t="n">
        <x:v>1</x:v>
      </x:c>
      <x:c r="G71" s="151" t="n">
        <x:v>0</x:v>
      </x:c>
      <x:c r="H71" s="151" t="n">
        <x:v>1</x:v>
      </x:c>
      <x:c r="I71" s="151" t="n">
        <x:v>1</x:v>
      </x:c>
      <x:c r="J71" s="151" t="n">
        <x:v>1</x:v>
      </x:c>
      <x:c r="K71" s="152" t="n">
        <x:f>D71*2+E71*2+F71*2+G71*2+H71+I71+J71</x:f>
        <x:v>7</x:v>
      </x:c>
      <x:c r="L71" s="153" t="str">
        <x:f>IF(K71&gt;=6,"高介绍",IF(K71&gt;=3,"中介绍",IF(K71&gt;=1,"低介绍","未介绍")))</x:f>
        <x:v>高介绍</x:v>
      </x:c>
      <x:c r="M71" s="150" t="str">
        <x:v>Title: ing Chair, Ergonomic Computer Chair with Footrest and Pocket Spring Cushion, Height Adjustable Video Gamer Chair with Lumbar Support for Adults, Black | Bullet 1–2: ring you sofa-level comfort for long-lasting relaxation. The individual springs evenly distribute pressure, ensuring superior ergonomic support. Perfect for extended gaming or work sessions, this | 后部副图: 商品副图视觉/文案明确命中 | Bullet 3–5: air for adults. Adjustable Ease for Play and Relax:Whether gaming, working, or relaxing, this gaming chair with footrest ensures comfort. The backrest adjusts from 90° to 135°, with an extendable | A+其他: xt page 1 MASSAGE FUNCTION 2 RETRACTABLE FOOTREST 3 LINKAGE ARMREST 4 WINGLESS CUSHION 5 STORAGE BAG | gaming chair | gaming chair</x:v>
      </x:c>
      <x:c r="N71" s="150" t="str">
        <x:v>https://www.amazon.com/dp/B0DDCK8JPB</x:v>
      </x:c>
      <x:c r="O71" s="150" t="str">
        <x:v>已验证</x:v>
      </x:c>
    </x:row>
    <x:row r="72" ht="48" customHeight="1">
      <x:c r="A72" s="206" t="str">
        <x:v>B0DDCK8JPB</x:v>
      </x:c>
      <x:c r="B72" s="150" t="str">
        <x:v>Work</x:v>
      </x:c>
      <x:c r="C72" s="142" t="str">
        <x:v>用途</x:v>
      </x:c>
      <x:c r="D72" s="151" t="n">
        <x:v>0</x:v>
      </x:c>
      <x:c r="E72" s="151" t="n">
        <x:v>0</x:v>
      </x:c>
      <x:c r="F72" s="151" t="n">
        <x:v>1</x:v>
      </x:c>
      <x:c r="G72" s="151" t="n">
        <x:v>0</x:v>
      </x:c>
      <x:c r="H72" s="151" t="n">
        <x:v>1</x:v>
      </x:c>
      <x:c r="I72" s="151" t="n">
        <x:v>1</x:v>
      </x:c>
      <x:c r="J72" s="151" t="n">
        <x:v>0</x:v>
      </x:c>
      <x:c r="K72" s="152" t="n">
        <x:f>D72*2+E72*2+F72*2+G72*2+H72+I72+J72</x:f>
        <x:v>4</x:v>
      </x:c>
      <x:c r="L72" s="153" t="str">
        <x:f>IF(K72&gt;=6,"高介绍",IF(K72&gt;=3,"中介绍",IF(K72&gt;=1,"低介绍","未介绍")))</x:f>
        <x:v>中介绍</x:v>
      </x:c>
      <x:c r="M72" s="150" t="str">
        <x:v>Bullet 1–2: omic support. Perfect for extended gaming or work sessions, this chair delivers a more comfortable experience than standard gamer chairs. Highly Breathable Fabric: Stay cool with our self-develop | 后部副图: 商品副图视觉/文案明确命中 | Bullet 3–5: able Ease for Play and Relax:Whether gaming, working, or relaxing, this gaming chair with footrest ensures comfort. The backrest adjusts from 90° to 135°, with an extendable footrest, massage lum</x:v>
      </x:c>
      <x:c r="N72" s="150" t="str">
        <x:v>https://www.amazon.com/dp/B0DDCK8JPB</x:v>
      </x:c>
      <x:c r="O72" s="150" t="str">
        <x:v>已验证</x:v>
      </x:c>
    </x:row>
    <x:row r="73" ht="48" customHeight="1">
      <x:c r="A73" s="206" t="str">
        <x:v>B0DDCK8JPB</x:v>
      </x:c>
      <x:c r="B73" s="150" t="str">
        <x:v>Computer Use</x:v>
      </x:c>
      <x:c r="C73" s="142" t="str">
        <x:v>用途</x:v>
      </x:c>
      <x:c r="D73" s="151" t="n">
        <x:v>1</x:v>
      </x:c>
      <x:c r="E73" s="151" t="n">
        <x:v>0</x:v>
      </x:c>
      <x:c r="F73" s="151" t="n">
        <x:v>0</x:v>
      </x:c>
      <x:c r="G73" s="151" t="n">
        <x:v>0</x:v>
      </x:c>
      <x:c r="H73" s="151" t="n">
        <x:v>0</x:v>
      </x:c>
      <x:c r="I73" s="151" t="n">
        <x:v>1</x:v>
      </x:c>
      <x:c r="J73" s="151" t="n">
        <x:v>0</x:v>
      </x:c>
      <x:c r="K73" s="152" t="n">
        <x:f>D73*2+E73*2+F73*2+G73*2+H73+I73+J73</x:f>
        <x:v>3</x:v>
      </x:c>
      <x:c r="L73" s="153" t="str">
        <x:f>IF(K73&gt;=6,"高介绍",IF(K73&gt;=3,"中介绍",IF(K73&gt;=1,"低介绍","未介绍")))</x:f>
        <x:v>中介绍</x:v>
      </x:c>
      <x:c r="M73" s="150" t="str">
        <x:v>Title: Dowinx Fabric Gaming Chair, Ergonomic Computer Chair with Footrest and Pocket Spring Cushion, Height Adjustable Video Gamer Chair with Lumbar Support for Adults, Black | Bullet 3–5: satisfaction is our priority. This ergonomic computer gaming chair comes with easy assembly, a 30-day return policy, and a 1-year repair service. We control quality directly, ensuring all replace</x:v>
      </x:c>
      <x:c r="N73" s="150" t="str">
        <x:v>https://www.amazon.com/dp/B0DDCK8JPB</x:v>
      </x:c>
      <x:c r="O73" s="150" t="str">
        <x:v>已验证</x:v>
      </x:c>
    </x:row>
    <x:row r="74" ht="48" customHeight="1">
      <x:c r="A74" s="206" t="str">
        <x:v>B0DDCK8JPB</x:v>
      </x:c>
      <x:c r="B74" s="150" t="str">
        <x:v>Reading</x:v>
      </x:c>
      <x:c r="C74" s="142" t="str">
        <x:v>用途</x:v>
      </x:c>
      <x:c r="D74" s="151" t="n">
        <x:v>0</x:v>
      </x:c>
      <x:c r="E74" s="151" t="n">
        <x:v>0</x:v>
      </x:c>
      <x:c r="F74" s="151" t="n">
        <x:v>0</x:v>
      </x:c>
      <x:c r="G74" s="151" t="n">
        <x:v>0</x:v>
      </x:c>
      <x:c r="H74" s="151" t="n">
        <x:v>0</x:v>
      </x:c>
      <x:c r="I74" s="151" t="n">
        <x:v>0</x:v>
      </x:c>
      <x:c r="J74" s="151" t="n">
        <x:v>0</x:v>
      </x:c>
      <x:c r="K74" s="152" t="n">
        <x:f>D74*2+E74*2+F74*2+G74*2+H74+I74+J74</x:f>
        <x:v>0</x:v>
      </x:c>
      <x:c r="L74" s="153" t="str">
        <x:f>IF(K74&gt;=6,"高介绍",IF(K74&gt;=3,"中介绍",IF(K74&gt;=1,"低介绍","未介绍")))</x:f>
        <x:v>未介绍</x:v>
      </x:c>
      <x:c r="M74" s="150" t="str">
        <x:v>Listing 已核验，未发现该标签的明确资源位表达</x:v>
      </x:c>
      <x:c r="N74" s="150" t="str">
        <x:v>https://www.amazon.com/dp/B0DDCK8JPB</x:v>
      </x:c>
      <x:c r="O74" s="150" t="str">
        <x:v>已验证</x:v>
      </x:c>
    </x:row>
    <x:row r="75" ht="48" customHeight="1">
      <x:c r="A75" s="206" t="str">
        <x:v>B0DDCK8JPB</x:v>
      </x:c>
      <x:c r="B75" s="150" t="str">
        <x:v>All-Day Use</x:v>
      </x:c>
      <x:c r="C75" s="145" t="str">
        <x:v>频率</x:v>
      </x:c>
      <x:c r="D75" s="151" t="n">
        <x:v>0</x:v>
      </x:c>
      <x:c r="E75" s="151" t="n">
        <x:v>0</x:v>
      </x:c>
      <x:c r="F75" s="151" t="n">
        <x:v>0</x:v>
      </x:c>
      <x:c r="G75" s="151" t="n">
        <x:v>0</x:v>
      </x:c>
      <x:c r="H75" s="151" t="n">
        <x:v>0</x:v>
      </x:c>
      <x:c r="I75" s="151" t="n">
        <x:v>0</x:v>
      </x:c>
      <x:c r="J75" s="151" t="n">
        <x:v>0</x:v>
      </x:c>
      <x:c r="K75" s="152" t="n">
        <x:f>D75*2+E75*2+F75*2+G75*2+H75+I75+J75</x:f>
        <x:v>0</x:v>
      </x:c>
      <x:c r="L75" s="153" t="str">
        <x:f>IF(K75&gt;=6,"高介绍",IF(K75&gt;=3,"中介绍",IF(K75&gt;=1,"低介绍","未介绍")))</x:f>
        <x:v>未介绍</x:v>
      </x:c>
      <x:c r="M75" s="150" t="str">
        <x:v>Listing 已核验，未发现该标签的明确资源位表达</x:v>
      </x:c>
      <x:c r="N75" s="150" t="str">
        <x:v>https://www.amazon.com/dp/B0DDCK8JPB</x:v>
      </x:c>
      <x:c r="O75" s="150" t="str">
        <x:v>已验证</x:v>
      </x:c>
    </x:row>
    <x:row r="76" ht="48" customHeight="1">
      <x:c r="A76" s="203" t="str">
        <x:v>B0DSBHRM8Y</x:v>
      </x:c>
      <x:c r="B76" s="123" t="str">
        <x:v>Gamers</x:v>
      </x:c>
      <x:c r="C76" s="129" t="str">
        <x:v>人群</x:v>
      </x:c>
      <x:c r="D76" s="124" t="n">
        <x:v>1</x:v>
      </x:c>
      <x:c r="E76" s="124" t="n">
        <x:v>0</x:v>
      </x:c>
      <x:c r="F76" s="124" t="n">
        <x:v>1</x:v>
      </x:c>
      <x:c r="G76" s="124" t="n">
        <x:v>1</x:v>
      </x:c>
      <x:c r="H76" s="124" t="n">
        <x:v>0</x:v>
      </x:c>
      <x:c r="I76" s="124" t="n">
        <x:v>1</x:v>
      </x:c>
      <x:c r="J76" s="124" t="n">
        <x:v>1</x:v>
      </x:c>
      <x:c r="K76" s="125" t="n">
        <x:f>D76*2+E76*2+F76*2+G76*2+H76+I76+J76</x:f>
        <x:v>8</x:v>
      </x:c>
      <x:c r="L76" s="126" t="str">
        <x:f>IF(K76&gt;=6,"高介绍",IF(K76&gt;=3,"中介绍",IF(K76&gt;=1,"低介绍","未介绍")))</x:f>
        <x:v>高介绍</x:v>
      </x:c>
      <x:c r="M76" s="123" t="str">
        <x:v>Title: Dowinx Big and Tall Gaming Chair with Footrest, Gray | Bullet 1–2: c Wide Backrest for Full Support: The Dowinx gaming chair features a wide backrest that provides exceptional support for your back and spine, making it ideal for heavier people. It effectively re | A+核心: GAMING CHAIR | Bullet 3–5: rious Feel: Crafted from knitted fabric, the gamer chair offers a luxurious touch and premium feel. The durable yet breathable materials ensure long-lasting use while maintaining comfort. The inc | A+其他: GAMING CHAIR | Previous page Next page | gaming chair | gaming chair | More Choices for You Dowinx Gaming Chair Buying Options Big and Tall Chair Buyi</x:v>
      </x:c>
      <x:c r="N76" s="123" t="str">
        <x:v>https://www.amazon.com/dp/B0DSBHRM8Y</x:v>
      </x:c>
      <x:c r="O76" s="123" t="str">
        <x:v>已验证</x:v>
      </x:c>
    </x:row>
    <x:row r="77" ht="48" customHeight="1">
      <x:c r="A77" s="204" t="str">
        <x:v>B0DSBHRM8Y</x:v>
      </x:c>
      <x:c r="B77" s="130" t="str">
        <x:v>Big &amp; Tall Users</x:v>
      </x:c>
      <x:c r="C77" s="136" t="str">
        <x:v>人群</x:v>
      </x:c>
      <x:c r="D77" s="131" t="n">
        <x:v>1</x:v>
      </x:c>
      <x:c r="E77" s="131" t="n">
        <x:v>1</x:v>
      </x:c>
      <x:c r="F77" s="131" t="n">
        <x:v>1</x:v>
      </x:c>
      <x:c r="G77" s="131" t="n">
        <x:v>0</x:v>
      </x:c>
      <x:c r="H77" s="131" t="n">
        <x:v>0</x:v>
      </x:c>
      <x:c r="I77" s="131" t="n">
        <x:v>0</x:v>
      </x:c>
      <x:c r="J77" s="131" t="n">
        <x:v>1</x:v>
      </x:c>
      <x:c r="K77" s="132" t="n">
        <x:f>D77*2+E77*2+F77*2+G77*2+H77+I77+J77</x:f>
        <x:v>7</x:v>
      </x:c>
      <x:c r="L77" s="133" t="str">
        <x:f>IF(K77&gt;=6,"高介绍",IF(K77&gt;=3,"中介绍",IF(K77&gt;=1,"低介绍","未介绍")))</x:f>
        <x:v>高介绍</x:v>
      </x:c>
      <x:c r="M77" s="130" t="str">
        <x:v>Title: Dowinx Big and Tall Gaming Chair with Footrest, Gray | Image 2–4: 商品副图视觉/文案明确命中 | Bullet 1–2: for your back and spine, making it ideal for heavier people. It effectively relieves pressure, ensuring long-lasting comfort and support during extended gaming or working sessions. Optimized Comf | A+其他: s for You Dowinx Gaming Chair Buying Options Big and Tall Chair Buying Options Fabric Gaming Chair Buying Options Vintage Gaming Chair Buying Options Dowinx Gaming Chair Buying Options Cute Gamin</x:v>
      </x:c>
      <x:c r="N77" s="130" t="str">
        <x:v>https://www.amazon.com/dp/B0DSBHRM8Y</x:v>
      </x:c>
      <x:c r="O77" s="130" t="str">
        <x:v>已验证</x:v>
      </x:c>
    </x:row>
    <x:row r="78" ht="48" customHeight="1">
      <x:c r="A78" s="204" t="str">
        <x:v>B0DSBHRM8Y</x:v>
      </x:c>
      <x:c r="B78" s="130" t="str">
        <x:v>Office Workers</x:v>
      </x:c>
      <x:c r="C78" s="136" t="str">
        <x:v>人群</x:v>
      </x:c>
      <x:c r="D78" s="131" t="n">
        <x:v>0</x:v>
      </x:c>
      <x:c r="E78" s="131" t="n">
        <x:v>0</x:v>
      </x:c>
      <x:c r="F78" s="131" t="n">
        <x:v>0</x:v>
      </x:c>
      <x:c r="G78" s="131" t="n">
        <x:v>0</x:v>
      </x:c>
      <x:c r="H78" s="131" t="n">
        <x:v>0</x:v>
      </x:c>
      <x:c r="I78" s="131" t="n">
        <x:v>0</x:v>
      </x:c>
      <x:c r="J78" s="131" t="n">
        <x:v>0</x:v>
      </x:c>
      <x:c r="K78" s="132" t="n">
        <x:f>D78*2+E78*2+F78*2+G78*2+H78+I78+J78</x:f>
        <x:v>0</x:v>
      </x:c>
      <x:c r="L78" s="133" t="str">
        <x:f>IF(K78&gt;=6,"高介绍",IF(K78&gt;=3,"中介绍",IF(K78&gt;=1,"低介绍","未介绍")))</x:f>
        <x:v>未介绍</x:v>
      </x:c>
      <x:c r="M78" s="130" t="str">
        <x:v>Listing 已核验，未发现该标签的明确资源位表达</x:v>
      </x:c>
      <x:c r="N78" s="130" t="str">
        <x:v>https://www.amazon.com/dp/B0DSBHRM8Y</x:v>
      </x:c>
      <x:c r="O78" s="130" t="str">
        <x:v>已验证</x:v>
      </x:c>
    </x:row>
    <x:row r="79" ht="48" customHeight="1">
      <x:c r="A79" s="204" t="str">
        <x:v>B0DSBHRM8Y</x:v>
      </x:c>
      <x:c r="B79" s="130" t="str">
        <x:v>Office / Workspace</x:v>
      </x:c>
      <x:c r="C79" s="139" t="str">
        <x:v>场景</x:v>
      </x:c>
      <x:c r="D79" s="131" t="n">
        <x:v>0</x:v>
      </x:c>
      <x:c r="E79" s="131" t="n">
        <x:v>1</x:v>
      </x:c>
      <x:c r="F79" s="131" t="n">
        <x:v>0</x:v>
      </x:c>
      <x:c r="G79" s="131" t="n">
        <x:v>0</x:v>
      </x:c>
      <x:c r="H79" s="131" t="n">
        <x:v>1</x:v>
      </x:c>
      <x:c r="I79" s="131" t="n">
        <x:v>0</x:v>
      </x:c>
      <x:c r="J79" s="131" t="n">
        <x:v>0</x:v>
      </x:c>
      <x:c r="K79" s="132" t="n">
        <x:f>D79*2+E79*2+F79*2+G79*2+H79+I79+J79</x:f>
        <x:v>3</x:v>
      </x:c>
      <x:c r="L79" s="133" t="str">
        <x:f>IF(K79&gt;=6,"高介绍",IF(K79&gt;=3,"中介绍",IF(K79&gt;=1,"低介绍","未介绍")))</x:f>
        <x:v>中介绍</x:v>
      </x:c>
      <x:c r="M79" s="130" t="str">
        <x:v>Image 2–4: 商品副图视觉/文案明确命中 | 后部副图: 商品副图视觉/文案明确命中</x:v>
      </x:c>
      <x:c r="N79" s="130" t="str">
        <x:v>https://www.amazon.com/dp/B0DSBHRM8Y</x:v>
      </x:c>
      <x:c r="O79" s="130" t="str">
        <x:v>已验证</x:v>
      </x:c>
    </x:row>
    <x:row r="80" ht="48" customHeight="1">
      <x:c r="A80" s="204" t="str">
        <x:v>B0DSBHRM8Y</x:v>
      </x:c>
      <x:c r="B80" s="130" t="str">
        <x:v>Entertainment / Leisure Space</x:v>
      </x:c>
      <x:c r="C80" s="139" t="str">
        <x:v>场景</x:v>
      </x:c>
      <x:c r="D80" s="131" t="n">
        <x:v>0</x:v>
      </x:c>
      <x:c r="E80" s="131" t="n">
        <x:v>0</x:v>
      </x:c>
      <x:c r="F80" s="131" t="n">
        <x:v>0</x:v>
      </x:c>
      <x:c r="G80" s="131" t="n">
        <x:v>0</x:v>
      </x:c>
      <x:c r="H80" s="131" t="n">
        <x:v>0</x:v>
      </x:c>
      <x:c r="I80" s="131" t="n">
        <x:v>1</x:v>
      </x:c>
      <x:c r="J80" s="131" t="n">
        <x:v>0</x:v>
      </x:c>
      <x:c r="K80" s="132" t="n">
        <x:f>D80*2+E80*2+F80*2+G80*2+H80+I80+J80</x:f>
        <x:v>1</x:v>
      </x:c>
      <x:c r="L80" s="133" t="str">
        <x:f>IF(K80&gt;=6,"高介绍",IF(K80&gt;=3,"中介绍",IF(K80&gt;=1,"低介绍","未介绍")))</x:f>
        <x:v>低介绍</x:v>
      </x:c>
      <x:c r="M80" s="130" t="str">
        <x:v>Bullet 3–5: tional comfort. Adjustable Ease for Play and Relax: Whether gaming, working, or chilling, this video gaming chair has you covered. Its backrest adjusts from a focused 90°to a relaxed 145°, paired</x:v>
      </x:c>
      <x:c r="N80" s="130" t="str">
        <x:v>https://www.amazon.com/dp/B0DSBHRM8Y</x:v>
      </x:c>
      <x:c r="O80" s="130" t="str">
        <x:v>已验证</x:v>
      </x:c>
    </x:row>
    <x:row r="81" ht="48" customHeight="1">
      <x:c r="A81" s="204" t="str">
        <x:v>B0DSBHRM8Y</x:v>
      </x:c>
      <x:c r="B81" s="130" t="str">
        <x:v>Gaming Room / Setup</x:v>
      </x:c>
      <x:c r="C81" s="139" t="str">
        <x:v>场景</x:v>
      </x:c>
      <x:c r="D81" s="131" t="n">
        <x:v>0</x:v>
      </x:c>
      <x:c r="E81" s="131" t="n">
        <x:v>0</x:v>
      </x:c>
      <x:c r="F81" s="131" t="n">
        <x:v>0</x:v>
      </x:c>
      <x:c r="G81" s="131" t="n">
        <x:v>0</x:v>
      </x:c>
      <x:c r="H81" s="131" t="n">
        <x:v>0</x:v>
      </x:c>
      <x:c r="I81" s="131" t="n">
        <x:v>0</x:v>
      </x:c>
      <x:c r="J81" s="131" t="n">
        <x:v>0</x:v>
      </x:c>
      <x:c r="K81" s="132" t="n">
        <x:f>D81*2+E81*2+F81*2+G81*2+H81+I81+J81</x:f>
        <x:v>0</x:v>
      </x:c>
      <x:c r="L81" s="133" t="str">
        <x:f>IF(K81&gt;=6,"高介绍",IF(K81&gt;=3,"中介绍",IF(K81&gt;=1,"低介绍","未介绍")))</x:f>
        <x:v>未介绍</x:v>
      </x:c>
      <x:c r="M81" s="130" t="str">
        <x:v>Listing 已核验，未发现该标签的明确资源位表达</x:v>
      </x:c>
      <x:c r="N81" s="130" t="str">
        <x:v>https://www.amazon.com/dp/B0DSBHRM8Y</x:v>
      </x:c>
      <x:c r="O81" s="130" t="str">
        <x:v>已验证</x:v>
      </x:c>
    </x:row>
    <x:row r="82" ht="48" customHeight="1">
      <x:c r="A82" s="204" t="str">
        <x:v>B0DSBHRM8Y</x:v>
      </x:c>
      <x:c r="B82" s="130" t="str">
        <x:v>Home Office</x:v>
      </x:c>
      <x:c r="C82" s="139" t="str">
        <x:v>场景</x:v>
      </x:c>
      <x:c r="D82" s="131" t="n">
        <x:v>0</x:v>
      </x:c>
      <x:c r="E82" s="131" t="n">
        <x:v>0</x:v>
      </x:c>
      <x:c r="F82" s="131" t="n">
        <x:v>0</x:v>
      </x:c>
      <x:c r="G82" s="131" t="n">
        <x:v>0</x:v>
      </x:c>
      <x:c r="H82" s="131" t="n">
        <x:v>0</x:v>
      </x:c>
      <x:c r="I82" s="131" t="n">
        <x:v>0</x:v>
      </x:c>
      <x:c r="J82" s="131" t="n">
        <x:v>0</x:v>
      </x:c>
      <x:c r="K82" s="132" t="n">
        <x:f>D82*2+E82*2+F82*2+G82*2+H82+I82+J82</x:f>
        <x:v>0</x:v>
      </x:c>
      <x:c r="L82" s="133" t="str">
        <x:f>IF(K82&gt;=6,"高介绍",IF(K82&gt;=3,"中介绍",IF(K82&gt;=1,"低介绍","未介绍")))</x:f>
        <x:v>未介绍</x:v>
      </x:c>
      <x:c r="M82" s="130" t="str">
        <x:v>Listing 已核验，未发现该标签的明确资源位表达</x:v>
      </x:c>
      <x:c r="N82" s="130" t="str">
        <x:v>https://www.amazon.com/dp/B0DSBHRM8Y</x:v>
      </x:c>
      <x:c r="O82" s="130" t="str">
        <x:v>已验证</x:v>
      </x:c>
    </x:row>
    <x:row r="83" ht="48" customHeight="1">
      <x:c r="A83" s="204" t="str">
        <x:v>B0DSBHRM8Y</x:v>
      </x:c>
      <x:c r="B83" s="130" t="str">
        <x:v>Streaming / Content Creation Setup</x:v>
      </x:c>
      <x:c r="C83" s="139" t="str">
        <x:v>场景</x:v>
      </x:c>
      <x:c r="D83" s="131" t="n">
        <x:v>0</x:v>
      </x:c>
      <x:c r="E83" s="131" t="n">
        <x:v>0</x:v>
      </x:c>
      <x:c r="F83" s="131" t="n">
        <x:v>0</x:v>
      </x:c>
      <x:c r="G83" s="131" t="n">
        <x:v>0</x:v>
      </x:c>
      <x:c r="H83" s="131" t="n">
        <x:v>0</x:v>
      </x:c>
      <x:c r="I83" s="131" t="n">
        <x:v>0</x:v>
      </x:c>
      <x:c r="J83" s="131" t="n">
        <x:v>0</x:v>
      </x:c>
      <x:c r="K83" s="132" t="n">
        <x:f>D83*2+E83*2+F83*2+G83*2+H83+I83+J83</x:f>
        <x:v>0</x:v>
      </x:c>
      <x:c r="L83" s="133" t="str">
        <x:f>IF(K83&gt;=6,"高介绍",IF(K83&gt;=3,"中介绍",IF(K83&gt;=1,"低介绍","未介绍")))</x:f>
        <x:v>未介绍</x:v>
      </x:c>
      <x:c r="M83" s="130" t="str">
        <x:v>Listing 已核验，未发现该标签的明确资源位表达</x:v>
      </x:c>
      <x:c r="N83" s="130" t="str">
        <x:v>https://www.amazon.com/dp/B0DSBHRM8Y</x:v>
      </x:c>
      <x:c r="O83" s="130" t="str">
        <x:v>已验证</x:v>
      </x:c>
    </x:row>
    <x:row r="84" ht="48" customHeight="1">
      <x:c r="A84" s="204" t="str">
        <x:v>B0DSBHRM8Y</x:v>
      </x:c>
      <x:c r="B84" s="130" t="str">
        <x:v>Gaming</x:v>
      </x:c>
      <x:c r="C84" s="142" t="str">
        <x:v>用途</x:v>
      </x:c>
      <x:c r="D84" s="131" t="n">
        <x:v>1</x:v>
      </x:c>
      <x:c r="E84" s="131" t="n">
        <x:v>0</x:v>
      </x:c>
      <x:c r="F84" s="131" t="n">
        <x:v>1</x:v>
      </x:c>
      <x:c r="G84" s="131" t="n">
        <x:v>1</x:v>
      </x:c>
      <x:c r="H84" s="131" t="n">
        <x:v>0</x:v>
      </x:c>
      <x:c r="I84" s="131" t="n">
        <x:v>1</x:v>
      </x:c>
      <x:c r="J84" s="131" t="n">
        <x:v>1</x:v>
      </x:c>
      <x:c r="K84" s="132" t="n">
        <x:f>D84*2+E84*2+F84*2+G84*2+H84+I84+J84</x:f>
        <x:v>8</x:v>
      </x:c>
      <x:c r="L84" s="133" t="str">
        <x:f>IF(K84&gt;=6,"高介绍",IF(K84&gt;=3,"中介绍",IF(K84&gt;=1,"低介绍","未介绍")))</x:f>
        <x:v>高介绍</x:v>
      </x:c>
      <x:c r="M84" s="130" t="str">
        <x:v>Title: Dowinx Big and Tall Gaming Chair with Footrest, Gray | Bullet 1–2: c Wide Backrest for Full Support: The Dowinx gaming chair features a wide backrest that provides exceptional support for your back and spine, making it ideal for heavier people. It effectively re | A+核心: GAMING CHAIR | Bullet 3–5:  Adjustable Ease for Play and Relax: Whether gaming, working, or chilling, this video gaming chair has you covered. Its backrest adjusts from a focused 90°to a relaxed 145°, paired with an extend | A+其他: GAMING CHAIR | Previous page Next page | gaming chair | gaming chair | More Choices for You Dowinx Gaming Chair Buying Options Big and Tall Chair Buyi</x:v>
      </x:c>
      <x:c r="N84" s="130" t="str">
        <x:v>https://www.amazon.com/dp/B0DSBHRM8Y</x:v>
      </x:c>
      <x:c r="O84" s="130" t="str">
        <x:v>已验证</x:v>
      </x:c>
    </x:row>
    <x:row r="85" ht="48" customHeight="1">
      <x:c r="A85" s="204" t="str">
        <x:v>B0DSBHRM8Y</x:v>
      </x:c>
      <x:c r="B85" s="130" t="str">
        <x:v>Relaxing</x:v>
      </x:c>
      <x:c r="C85" s="142" t="str">
        <x:v>用途</x:v>
      </x:c>
      <x:c r="D85" s="131" t="n">
        <x:v>1</x:v>
      </x:c>
      <x:c r="E85" s="131" t="n">
        <x:v>0</x:v>
      </x:c>
      <x:c r="F85" s="131" t="n">
        <x:v>1</x:v>
      </x:c>
      <x:c r="G85" s="131" t="n">
        <x:v>0</x:v>
      </x:c>
      <x:c r="H85" s="131" t="n">
        <x:v>1</x:v>
      </x:c>
      <x:c r="I85" s="131" t="n">
        <x:v>1</x:v>
      </x:c>
      <x:c r="J85" s="131" t="n">
        <x:v>1</x:v>
      </x:c>
      <x:c r="K85" s="132" t="n">
        <x:f>D85*2+E85*2+F85*2+G85*2+H85+I85+J85</x:f>
        <x:v>7</x:v>
      </x:c>
      <x:c r="L85" s="133" t="str">
        <x:f>IF(K85&gt;=6,"高介绍",IF(K85&gt;=3,"中介绍",IF(K85&gt;=1,"低介绍","未介绍")))</x:f>
        <x:v>高介绍</x:v>
      </x:c>
      <x:c r="M85" s="130" t="str">
        <x:v>Title: Dowinx Big and Tall Gaming Chair with Footrest, Gray | Bullet 1–2: Ergonomic Wide Backrest for Full Support: The Dowinx gaming chair features a wide backrest that provides exceptional support for your back and spine, making it ideal for | 后部副图: 商品副图视觉/文案明确命中 | Bullet 3–5:  while maintaining comfort. The included headrest and massage lumbar pillow provide additional comfort. Adjustable Ease for Play and Relax: Whether gaming, working, or chilling, this video gaming | A+其他: Fabric Fabric Fabric Lether Fabric Lether Armrest Type Linkage Armrest Linkage Armrest Linkage Armrest Linkage Armrest Linkage Armrest Linkage Armrest Massage Function ✔ ✔ ✔ ✔ ✔ ✔ Retractable Foo</x:v>
      </x:c>
      <x:c r="N85" s="130" t="str">
        <x:v>https://www.amazon.com/dp/B0DSBHRM8Y</x:v>
      </x:c>
      <x:c r="O85" s="130" t="str">
        <x:v>已验证</x:v>
      </x:c>
    </x:row>
    <x:row r="86" ht="48" customHeight="1">
      <x:c r="A86" s="204" t="str">
        <x:v>B0DSBHRM8Y</x:v>
      </x:c>
      <x:c r="B86" s="130" t="str">
        <x:v>Work</x:v>
      </x:c>
      <x:c r="C86" s="142" t="str">
        <x:v>用途</x:v>
      </x:c>
      <x:c r="D86" s="131" t="n">
        <x:v>0</x:v>
      </x:c>
      <x:c r="E86" s="131" t="n">
        <x:v>1</x:v>
      </x:c>
      <x:c r="F86" s="131" t="n">
        <x:v>1</x:v>
      </x:c>
      <x:c r="G86" s="131" t="n">
        <x:v>0</x:v>
      </x:c>
      <x:c r="H86" s="131" t="n">
        <x:v>1</x:v>
      </x:c>
      <x:c r="I86" s="131" t="n">
        <x:v>1</x:v>
      </x:c>
      <x:c r="J86" s="131" t="n">
        <x:v>0</x:v>
      </x:c>
      <x:c r="K86" s="132" t="n">
        <x:f>D86*2+E86*2+F86*2+G86*2+H86+I86+J86</x:f>
        <x:v>6</x:v>
      </x:c>
      <x:c r="L86" s="133" t="str">
        <x:f>IF(K86&gt;=6,"高介绍",IF(K86&gt;=3,"中介绍",IF(K86&gt;=1,"低介绍","未介绍")))</x:f>
        <x:v>高介绍</x:v>
      </x:c>
      <x:c r="M86" s="130" t="str">
        <x:v>Image 2–4: 商品副图视觉/文案明确命中 | Bullet 1–2: omfort and support during extended gaming or working sessions. Optimized Comfort with Foam: The gaming chair’s wingless seat design maximizes space, allowing you to freely adjust your posture. Hi | 后部副图: 商品副图视觉/文案明确命中 | Bullet 3–5: ble Ease for Play and Relax: Whether gaming, working, or chilling, this video gaming chair has you covered. Its backrest adjusts from a focused 90°to a relaxed 145°, paired with an extendable foo</x:v>
      </x:c>
      <x:c r="N86" s="130" t="str">
        <x:v>https://www.amazon.com/dp/B0DSBHRM8Y</x:v>
      </x:c>
      <x:c r="O86" s="130" t="str">
        <x:v>已验证</x:v>
      </x:c>
    </x:row>
    <x:row r="87" ht="48" customHeight="1">
      <x:c r="A87" s="204" t="str">
        <x:v>B0DSBHRM8Y</x:v>
      </x:c>
      <x:c r="B87" s="130" t="str">
        <x:v>Computer Use</x:v>
      </x:c>
      <x:c r="C87" s="142" t="str">
        <x:v>用途</x:v>
      </x:c>
      <x:c r="D87" s="131" t="n">
        <x:v>0</x:v>
      </x:c>
      <x:c r="E87" s="131" t="n">
        <x:v>0</x:v>
      </x:c>
      <x:c r="F87" s="131" t="n">
        <x:v>0</x:v>
      </x:c>
      <x:c r="G87" s="131" t="n">
        <x:v>0</x:v>
      </x:c>
      <x:c r="H87" s="131" t="n">
        <x:v>0</x:v>
      </x:c>
      <x:c r="I87" s="131" t="n">
        <x:v>1</x:v>
      </x:c>
      <x:c r="J87" s="131" t="n">
        <x:v>0</x:v>
      </x:c>
      <x:c r="K87" s="132" t="n">
        <x:f>D87*2+E87*2+F87*2+G87*2+H87+I87+J87</x:f>
        <x:v>1</x:v>
      </x:c>
      <x:c r="L87" s="133" t="str">
        <x:f>IF(K87&gt;=6,"高介绍",IF(K87&gt;=3,"中介绍",IF(K87&gt;=1,"低介绍","未介绍")))</x:f>
        <x:v>低介绍</x:v>
      </x:c>
      <x:c r="M87" s="130" t="str">
        <x:v>Bullet 3–5: satisfaction is our priority. This ergonomic computer chair comes with an easy-to-follow assembly guide, a 30-day return policy, and a 1-year repair service. We have our own factory to guarantee </x:v>
      </x:c>
      <x:c r="N87" s="130" t="str">
        <x:v>https://www.amazon.com/dp/B0DSBHRM8Y</x:v>
      </x:c>
      <x:c r="O87" s="130" t="str">
        <x:v>已验证</x:v>
      </x:c>
    </x:row>
    <x:row r="88" ht="48" customHeight="1">
      <x:c r="A88" s="204" t="str">
        <x:v>B0DSBHRM8Y</x:v>
      </x:c>
      <x:c r="B88" s="130" t="str">
        <x:v>Long Hours</x:v>
      </x:c>
      <x:c r="C88" s="145" t="str">
        <x:v>频率</x:v>
      </x:c>
      <x:c r="D88" s="131" t="n">
        <x:v>0</x:v>
      </x:c>
      <x:c r="E88" s="131" t="n">
        <x:v>1</x:v>
      </x:c>
      <x:c r="F88" s="131" t="n">
        <x:v>1</x:v>
      </x:c>
      <x:c r="G88" s="131" t="n">
        <x:v>0</x:v>
      </x:c>
      <x:c r="H88" s="131" t="n">
        <x:v>1</x:v>
      </x:c>
      <x:c r="I88" s="131" t="n">
        <x:v>1</x:v>
      </x:c>
      <x:c r="J88" s="131" t="n">
        <x:v>0</x:v>
      </x:c>
      <x:c r="K88" s="132" t="n">
        <x:f>D88*2+E88*2+F88*2+G88*2+H88+I88+J88</x:f>
        <x:v>6</x:v>
      </x:c>
      <x:c r="L88" s="133" t="str">
        <x:f>IF(K88&gt;=6,"高介绍",IF(K88&gt;=3,"中介绍",IF(K88&gt;=1,"低介绍","未介绍")))</x:f>
        <x:v>高介绍</x:v>
      </x:c>
      <x:c r="M88" s="130" t="str">
        <x:v>Image 2–4: 商品副图视觉/文案明确命中 | Bullet 1–2: . It effectively relieves pressure, ensuring long-lasting comfort and support during extended gaming or working sessions. Optimized Comfort with Foam: The gaming chair’s wingless seat design maxi | 后部副图: 商品副图视觉/文案明确命中 | Bullet 3–5:  The durable yet breathable materials ensure long-lasting use while maintaining comfort. The included headrest and massage lumbar pillow provide additional comfort. Adjustable Ease for Play and R</x:v>
      </x:c>
      <x:c r="N88" s="130" t="str">
        <x:v>https://www.amazon.com/dp/B0DSBHRM8Y</x:v>
      </x:c>
      <x:c r="O88" s="130" t="str">
        <x:v>已验证</x:v>
      </x:c>
    </x:row>
    <x:row r="89" ht="48" customHeight="1">
      <x:c r="A89" s="205" t="str">
        <x:v>B0FK5PQH4J</x:v>
      </x:c>
      <x:c r="B89" s="146" t="str">
        <x:v>Big &amp; Tall Users</x:v>
      </x:c>
      <x:c r="C89" s="129" t="str">
        <x:v>人群</x:v>
      </x:c>
      <x:c r="D89" s="147" t="n">
        <x:v>1</x:v>
      </x:c>
      <x:c r="E89" s="147" t="n">
        <x:v>1</x:v>
      </x:c>
      <x:c r="F89" s="147" t="n">
        <x:v>1</x:v>
      </x:c>
      <x:c r="G89" s="147" t="n">
        <x:v>0</x:v>
      </x:c>
      <x:c r="H89" s="147" t="n">
        <x:v>0</x:v>
      </x:c>
      <x:c r="I89" s="147" t="n">
        <x:v>0</x:v>
      </x:c>
      <x:c r="J89" s="147" t="n">
        <x:v>0</x:v>
      </x:c>
      <x:c r="K89" s="148" t="n">
        <x:f>D89*2+E89*2+F89*2+G89*2+H89+I89+J89</x:f>
        <x:v>6</x:v>
      </x:c>
      <x:c r="L89" s="149" t="str">
        <x:f>IF(K89&gt;=6,"高介绍",IF(K89&gt;=3,"中介绍",IF(K89&gt;=1,"低介绍","未介绍")))</x:f>
        <x:v>高介绍</x:v>
      </x:c>
      <x:c r="M89" s="146" t="str">
        <x:v>Title: ing Chair with Heated Massage Lumbar Support,Big and Tall Fabric Gaming Chairs for Adults with Footrest, Ergonomic Computer Game Chair with Poket Spring Cushions, 350lbs, Black | Image 2–4: 商品副图视觉/文案明确命中 | Bullet 1–2: lined base without bulky side panels, giving larger users more room to stretch out comfortably and eliminating any sense of tightness or restriction.</x:v>
      </x:c>
      <x:c r="N89" s="146" t="str">
        <x:v>https://www.amazon.com/dp/B0FK5PQH4J</x:v>
      </x:c>
      <x:c r="O89" s="146" t="str">
        <x:v>已验证</x:v>
      </x:c>
    </x:row>
    <x:row r="90" ht="48" customHeight="1">
      <x:c r="A90" s="206" t="str">
        <x:v>B0FK5PQH4J</x:v>
      </x:c>
      <x:c r="B90" s="150" t="str">
        <x:v>Health-Feature Seekers</x:v>
      </x:c>
      <x:c r="C90" s="136" t="str">
        <x:v>人群</x:v>
      </x:c>
      <x:c r="D90" s="151" t="n">
        <x:v>1</x:v>
      </x:c>
      <x:c r="E90" s="151" t="n">
        <x:v>1</x:v>
      </x:c>
      <x:c r="F90" s="151" t="n">
        <x:v>1</x:v>
      </x:c>
      <x:c r="G90" s="151" t="n">
        <x:v>0</x:v>
      </x:c>
      <x:c r="H90" s="151" t="n">
        <x:v>0</x:v>
      </x:c>
      <x:c r="I90" s="151" t="n">
        <x:v>0</x:v>
      </x:c>
      <x:c r="J90" s="151" t="n">
        <x:v>0</x:v>
      </x:c>
      <x:c r="K90" s="152" t="n">
        <x:f>D90*2+E90*2+F90*2+G90*2+H90+I90+J90</x:f>
        <x:v>6</x:v>
      </x:c>
      <x:c r="L90" s="153" t="str">
        <x:f>IF(K90&gt;=6,"高介绍",IF(K90&gt;=3,"中介绍",IF(K90&gt;=1,"低介绍","未介绍")))</x:f>
        <x:v>高介绍</x:v>
      </x:c>
      <x:c r="M90" s="150" t="str">
        <x:v>Title: Dowinx Gaming Chair with Heated Massage Lumbar Support,Big and Tall Fabric Gaming Chairs for Adults with Footrest, Ergonomic Computer Game Chair with Poket Spring Cushions, 35 | Image 2–4: 商品副图视觉/文案明确命中 | Bullet 1–2: 【Heated Massage Gaming Chair for Long-Lasting Support】Created for those who spend extended hours sitting, the Dowinx massage chair helps ease tension i</x:v>
      </x:c>
      <x:c r="N90" s="150" t="str">
        <x:v>https://www.amazon.com/dp/B0FK5PQH4J</x:v>
      </x:c>
      <x:c r="O90" s="150" t="str">
        <x:v>已验证</x:v>
      </x:c>
    </x:row>
    <x:row r="91" ht="48" customHeight="1">
      <x:c r="A91" s="206" t="str">
        <x:v>B0FK5PQH4J</x:v>
      </x:c>
      <x:c r="B91" s="150" t="str">
        <x:v>Gamers</x:v>
      </x:c>
      <x:c r="C91" s="136" t="str">
        <x:v>人群</x:v>
      </x:c>
      <x:c r="D91" s="151" t="n">
        <x:v>1</x:v>
      </x:c>
      <x:c r="E91" s="151" t="n">
        <x:v>0</x:v>
      </x:c>
      <x:c r="F91" s="151" t="n">
        <x:v>1</x:v>
      </x:c>
      <x:c r="G91" s="151" t="n">
        <x:v>0</x:v>
      </x:c>
      <x:c r="H91" s="151" t="n">
        <x:v>0</x:v>
      </x:c>
      <x:c r="I91" s="151" t="n">
        <x:v>1</x:v>
      </x:c>
      <x:c r="J91" s="151" t="n">
        <x:v>0</x:v>
      </x:c>
      <x:c r="K91" s="152" t="n">
        <x:f>D91*2+E91*2+F91*2+G91*2+H91+I91+J91</x:f>
        <x:v>5</x:v>
      </x:c>
      <x:c r="L91" s="153" t="str">
        <x:f>IF(K91&gt;=6,"高介绍",IF(K91&gt;=3,"中介绍",IF(K91&gt;=1,"低介绍","未介绍")))</x:f>
        <x:v>中介绍</x:v>
      </x:c>
      <x:c r="M91" s="150" t="str">
        <x:v>Title: Dowinx Gaming Chair with Heated Massage Lumbar Support,Big and Tall Fabric Gaming Chairs for Adults with Footrest, Ergonomic Computer Game Chair with Poket S | Bullet 1–2: 【Heated Massage Gaming Chair for Long-Lasting Support】Created for those who spend extended hours sitting, the Dowinx massage chair helps ease tension in the lower bac | Bullet 3–5: nded Use】Designed with airflow in mind, this gamer chair keeps you feeling dry and relaxed even during longer sessions in a warm room. Instead of trapping body heat, the specially selected textil</x:v>
      </x:c>
      <x:c r="N91" s="150" t="str">
        <x:v>https://www.amazon.com/dp/B0FK5PQH4J</x:v>
      </x:c>
      <x:c r="O91" s="150" t="str">
        <x:v>已验证</x:v>
      </x:c>
    </x:row>
    <x:row r="92" ht="48" customHeight="1">
      <x:c r="A92" s="206" t="str">
        <x:v>B0FK5PQH4J</x:v>
      </x:c>
      <x:c r="B92" s="150" t="str">
        <x:v>Back Support Seekers</x:v>
      </x:c>
      <x:c r="C92" s="136" t="str">
        <x:v>人群</x:v>
      </x:c>
      <x:c r="D92" s="151" t="n">
        <x:v>1</x:v>
      </x:c>
      <x:c r="E92" s="151" t="n">
        <x:v>1</x:v>
      </x:c>
      <x:c r="F92" s="151" t="n">
        <x:v>0</x:v>
      </x:c>
      <x:c r="G92" s="151" t="n">
        <x:v>0</x:v>
      </x:c>
      <x:c r="H92" s="151" t="n">
        <x:v>0</x:v>
      </x:c>
      <x:c r="I92" s="151" t="n">
        <x:v>0</x:v>
      </x:c>
      <x:c r="J92" s="151" t="n">
        <x:v>0</x:v>
      </x:c>
      <x:c r="K92" s="152" t="n">
        <x:f>D92*2+E92*2+F92*2+G92*2+H92+I92+J92</x:f>
        <x:v>4</x:v>
      </x:c>
      <x:c r="L92" s="153" t="str">
        <x:f>IF(K92&gt;=6,"高介绍",IF(K92&gt;=3,"中介绍",IF(K92&gt;=1,"低介绍","未介绍")))</x:f>
        <x:v>中介绍</x:v>
      </x:c>
      <x:c r="M92" s="150" t="str">
        <x:v>Title: Dowinx Gaming Chair with Heated Massage Lumbar Support,Big and Tall Fabric Gaming Chairs for Adults with Footrest, Ergonomic Computer Game Chair with Poket Spring Cushions, 350lbs, Black | Image 2–4: 商品副图视觉/文案明确命中</x:v>
      </x:c>
      <x:c r="N92" s="150" t="str">
        <x:v>https://www.amazon.com/dp/B0FK5PQH4J</x:v>
      </x:c>
      <x:c r="O92" s="150" t="str">
        <x:v>已验证</x:v>
      </x:c>
    </x:row>
    <x:row r="93" ht="48" customHeight="1">
      <x:c r="A93" s="206" t="str">
        <x:v>B0FK5PQH4J</x:v>
      </x:c>
      <x:c r="B93" s="150" t="str">
        <x:v>Comfort Seekers</x:v>
      </x:c>
      <x:c r="C93" s="136" t="str">
        <x:v>人群</x:v>
      </x:c>
      <x:c r="D93" s="151" t="n">
        <x:v>0</x:v>
      </x:c>
      <x:c r="E93" s="151" t="n">
        <x:v>0</x:v>
      </x:c>
      <x:c r="F93" s="151" t="n">
        <x:v>1</x:v>
      </x:c>
      <x:c r="G93" s="151" t="n">
        <x:v>0</x:v>
      </x:c>
      <x:c r="H93" s="151" t="n">
        <x:v>1</x:v>
      </x:c>
      <x:c r="I93" s="151" t="n">
        <x:v>1</x:v>
      </x:c>
      <x:c r="J93" s="151" t="n">
        <x:v>0</x:v>
      </x:c>
      <x:c r="K93" s="152" t="n">
        <x:f>D93*2+E93*2+F93*2+G93*2+H93+I93+J93</x:f>
        <x:v>4</x:v>
      </x:c>
      <x:c r="L93" s="153" t="str">
        <x:f>IF(K93&gt;=6,"高介绍",IF(K93&gt;=3,"中介绍",IF(K93&gt;=1,"低介绍","未介绍")))</x:f>
        <x:v>中介绍</x:v>
      </x:c>
      <x:c r="M93" s="150" t="str">
        <x:v>Bullet 1–2: giving larger users more room to stretch out comfortably and eliminating any sense of tightness or restriction. | 后部副图: 商品副图视觉/文案明确命中 | Bullet 3–5: throughout. 【Versatile Chair Built for Daily Comfort】This isn’t just a gaming chair—it’s crafted to match how real users sit and move. The uniquely contoured headpiece gently follows the shape of</x:v>
      </x:c>
      <x:c r="N93" s="150" t="str">
        <x:v>https://www.amazon.com/dp/B0FK5PQH4J</x:v>
      </x:c>
      <x:c r="O93" s="150" t="str">
        <x:v>已验证</x:v>
      </x:c>
    </x:row>
    <x:row r="94" ht="48" customHeight="1">
      <x:c r="A94" s="206" t="str">
        <x:v>B0FK5PQH4J</x:v>
      </x:c>
      <x:c r="B94" s="150" t="str">
        <x:v>Office Workers</x:v>
      </x:c>
      <x:c r="C94" s="136" t="str">
        <x:v>人群</x:v>
      </x:c>
      <x:c r="D94" s="151" t="n">
        <x:v>0</x:v>
      </x:c>
      <x:c r="E94" s="151" t="n">
        <x:v>0</x:v>
      </x:c>
      <x:c r="F94" s="151" t="n">
        <x:v>0</x:v>
      </x:c>
      <x:c r="G94" s="151" t="n">
        <x:v>0</x:v>
      </x:c>
      <x:c r="H94" s="151" t="n">
        <x:v>0</x:v>
      </x:c>
      <x:c r="I94" s="151" t="n">
        <x:v>0</x:v>
      </x:c>
      <x:c r="J94" s="151" t="n">
        <x:v>0</x:v>
      </x:c>
      <x:c r="K94" s="152" t="n">
        <x:f>D94*2+E94*2+F94*2+G94*2+H94+I94+J94</x:f>
        <x:v>0</x:v>
      </x:c>
      <x:c r="L94" s="153" t="str">
        <x:f>IF(K94&gt;=6,"高介绍",IF(K94&gt;=3,"中介绍",IF(K94&gt;=1,"低介绍","未介绍")))</x:f>
        <x:v>未介绍</x:v>
      </x:c>
      <x:c r="M94" s="150" t="str">
        <x:v>Listing 已核验，未发现该标签的明确资源位表达</x:v>
      </x:c>
      <x:c r="N94" s="150" t="str">
        <x:v>https://www.amazon.com/dp/B0FK5PQH4J</x:v>
      </x:c>
      <x:c r="O94" s="150" t="str">
        <x:v>已验证</x:v>
      </x:c>
    </x:row>
    <x:row r="95" ht="48" customHeight="1">
      <x:c r="A95" s="206" t="str">
        <x:v>B0FK5PQH4J</x:v>
      </x:c>
      <x:c r="B95" s="150" t="str">
        <x:v>Office / Workspace</x:v>
      </x:c>
      <x:c r="C95" s="139" t="str">
        <x:v>场景</x:v>
      </x:c>
      <x:c r="D95" s="151" t="n">
        <x:v>0</x:v>
      </x:c>
      <x:c r="E95" s="151" t="n">
        <x:v>0</x:v>
      </x:c>
      <x:c r="F95" s="151" t="n">
        <x:v>1</x:v>
      </x:c>
      <x:c r="G95" s="151" t="n">
        <x:v>0</x:v>
      </x:c>
      <x:c r="H95" s="151" t="n">
        <x:v>1</x:v>
      </x:c>
      <x:c r="I95" s="151" t="n">
        <x:v>1</x:v>
      </x:c>
      <x:c r="J95" s="151" t="n">
        <x:v>0</x:v>
      </x:c>
      <x:c r="K95" s="152" t="n">
        <x:f>D95*2+E95*2+F95*2+G95*2+H95+I95+J95</x:f>
        <x:v>4</x:v>
      </x:c>
      <x:c r="L95" s="153" t="str">
        <x:f>IF(K95&gt;=6,"高介绍",IF(K95&gt;=3,"中介绍",IF(K95&gt;=1,"低介绍","未介绍")))</x:f>
        <x:v>中介绍</x:v>
      </x:c>
      <x:c r="M95" s="150" t="str">
        <x:v>Bullet 1–2: the massage mode—ideal for gaming marathons, office use, or casual lounging. 【Spacious Seating with Enhanced Flexibility】This adult gaming chair combines responsive coil technology and plush padd | 后部副图: 商品副图视觉/文案明确命中 | Bullet 3–5: ce. Whether you're battling in-game, working at your desk, flipping pages, or taking a midday break, this chair adapts to your routine. 【Reliable Build &amp; Support】Engineered with a reinforced meta</x:v>
      </x:c>
      <x:c r="N95" s="150" t="str">
        <x:v>https://www.amazon.com/dp/B0FK5PQH4J</x:v>
      </x:c>
      <x:c r="O95" s="150" t="str">
        <x:v>已验证</x:v>
      </x:c>
    </x:row>
    <x:row r="96" ht="48" customHeight="1">
      <x:c r="A96" s="206" t="str">
        <x:v>B0FK5PQH4J</x:v>
      </x:c>
      <x:c r="B96" s="150" t="str">
        <x:v>Entertainment / Leisure Space</x:v>
      </x:c>
      <x:c r="C96" s="139" t="str">
        <x:v>场景</x:v>
      </x:c>
      <x:c r="D96" s="151" t="n">
        <x:v>0</x:v>
      </x:c>
      <x:c r="E96" s="151" t="n">
        <x:v>0</x:v>
      </x:c>
      <x:c r="F96" s="151" t="n">
        <x:v>1</x:v>
      </x:c>
      <x:c r="G96" s="151" t="n">
        <x:v>0</x:v>
      </x:c>
      <x:c r="H96" s="151" t="n">
        <x:v>0</x:v>
      </x:c>
      <x:c r="I96" s="151" t="n">
        <x:v>1</x:v>
      </x:c>
      <x:c r="J96" s="151" t="n">
        <x:v>0</x:v>
      </x:c>
      <x:c r="K96" s="152" t="n">
        <x:f>D96*2+E96*2+F96*2+G96*2+H96+I96+J96</x:f>
        <x:v>3</x:v>
      </x:c>
      <x:c r="L96" s="153" t="str">
        <x:f>IF(K96&gt;=6,"高介绍",IF(K96&gt;=3,"中介绍",IF(K96&gt;=1,"低介绍","未介绍")))</x:f>
        <x:v>中介绍</x:v>
      </x:c>
      <x:c r="M96" s="150" t="str">
        <x:v>Bullet 1–2: hythmic kneading movements that promote deep relaxation. The adjustable warmth function encourages circulation and keeps you cozy during quiet nights or solo moments. Its innovative reversible pa | Bullet 3–5: , this gamer chair keeps you feeling dry and relaxed even during longer sessions in a warm room. Instead of trapping body heat, the specially selected textile promotes ventilation and reduces cla</x:v>
      </x:c>
      <x:c r="N96" s="150" t="str">
        <x:v>https://www.amazon.com/dp/B0FK5PQH4J</x:v>
      </x:c>
      <x:c r="O96" s="150" t="str">
        <x:v>已验证</x:v>
      </x:c>
    </x:row>
    <x:row r="97" ht="48" customHeight="1">
      <x:c r="A97" s="206" t="str">
        <x:v>B0FK5PQH4J</x:v>
      </x:c>
      <x:c r="B97" s="150" t="str">
        <x:v>Gaming Room / Setup</x:v>
      </x:c>
      <x:c r="C97" s="139" t="str">
        <x:v>场景</x:v>
      </x:c>
      <x:c r="D97" s="151" t="n">
        <x:v>0</x:v>
      </x:c>
      <x:c r="E97" s="151" t="n">
        <x:v>0</x:v>
      </x:c>
      <x:c r="F97" s="151" t="n">
        <x:v>0</x:v>
      </x:c>
      <x:c r="G97" s="151" t="n">
        <x:v>0</x:v>
      </x:c>
      <x:c r="H97" s="151" t="n">
        <x:v>0</x:v>
      </x:c>
      <x:c r="I97" s="151" t="n">
        <x:v>0</x:v>
      </x:c>
      <x:c r="J97" s="151" t="n">
        <x:v>0</x:v>
      </x:c>
      <x:c r="K97" s="152" t="n">
        <x:f>D97*2+E97*2+F97*2+G97*2+H97+I97+J97</x:f>
        <x:v>0</x:v>
      </x:c>
      <x:c r="L97" s="153" t="str">
        <x:f>IF(K97&gt;=6,"高介绍",IF(K97&gt;=3,"中介绍",IF(K97&gt;=1,"低介绍","未介绍")))</x:f>
        <x:v>未介绍</x:v>
      </x:c>
      <x:c r="M97" s="150" t="str">
        <x:v>Listing 已核验，未发现该标签的明确资源位表达</x:v>
      </x:c>
      <x:c r="N97" s="150" t="str">
        <x:v>https://www.amazon.com/dp/B0FK5PQH4J</x:v>
      </x:c>
      <x:c r="O97" s="150" t="str">
        <x:v>已验证</x:v>
      </x:c>
    </x:row>
    <x:row r="98" ht="48" customHeight="1">
      <x:c r="A98" s="206" t="str">
        <x:v>B0FK5PQH4J</x:v>
      </x:c>
      <x:c r="B98" s="150" t="str">
        <x:v>Back Tension Relief</x:v>
      </x:c>
      <x:c r="C98" s="142" t="str">
        <x:v>用途</x:v>
      </x:c>
      <x:c r="D98" s="151" t="n">
        <x:v>0</x:v>
      </x:c>
      <x:c r="E98" s="151" t="n">
        <x:v>1</x:v>
      </x:c>
      <x:c r="F98" s="151" t="n">
        <x:v>1</x:v>
      </x:c>
      <x:c r="G98" s="151" t="n">
        <x:v>0</x:v>
      </x:c>
      <x:c r="H98" s="151" t="n">
        <x:v>0</x:v>
      </x:c>
      <x:c r="I98" s="151" t="n">
        <x:v>1</x:v>
      </x:c>
      <x:c r="J98" s="151" t="n">
        <x:v>0</x:v>
      </x:c>
      <x:c r="K98" s="152" t="n">
        <x:f>D98*2+E98*2+F98*2+G98*2+H98+I98+J98</x:f>
        <x:v>5</x:v>
      </x:c>
      <x:c r="L98" s="153" t="str">
        <x:f>IF(K98&gt;=6,"高介绍",IF(K98&gt;=3,"中介绍",IF(K98&gt;=1,"低介绍","未介绍")))</x:f>
        <x:v>中介绍</x:v>
      </x:c>
      <x:c r="M98" s="150" t="str">
        <x:v>Image 2–4: 商品副图视觉/文案明确命中 | Bullet 1–2: n in the lower back with simulated fingertip pressure and rhythmic kneading movements that promote deep relaxation. The adjustable warmth function encourages circulation and keeps you cozy during | Bullet 3–5:  components, including a high-grade base and pressure-tested lift mechanism. The package comes with clear step-by-step instructions, making self-assembly quick and easy. Plus, enjoy peace of mind</x:v>
      </x:c>
      <x:c r="N98" s="150" t="str">
        <x:v>https://www.amazon.com/dp/B0FK5PQH4J</x:v>
      </x:c>
      <x:c r="O98" s="150" t="str">
        <x:v>已验证</x:v>
      </x:c>
    </x:row>
    <x:row r="99" ht="48" customHeight="1">
      <x:c r="A99" s="206" t="str">
        <x:v>B0FK5PQH4J</x:v>
      </x:c>
      <x:c r="B99" s="150" t="str">
        <x:v>Gaming</x:v>
      </x:c>
      <x:c r="C99" s="142" t="str">
        <x:v>用途</x:v>
      </x:c>
      <x:c r="D99" s="151" t="n">
        <x:v>1</x:v>
      </x:c>
      <x:c r="E99" s="151" t="n">
        <x:v>0</x:v>
      </x:c>
      <x:c r="F99" s="151" t="n">
        <x:v>1</x:v>
      </x:c>
      <x:c r="G99" s="151" t="n">
        <x:v>0</x:v>
      </x:c>
      <x:c r="H99" s="151" t="n">
        <x:v>0</x:v>
      </x:c>
      <x:c r="I99" s="151" t="n">
        <x:v>1</x:v>
      </x:c>
      <x:c r="J99" s="151" t="n">
        <x:v>0</x:v>
      </x:c>
      <x:c r="K99" s="152" t="n">
        <x:f>D99*2+E99*2+F99*2+G99*2+H99+I99+J99</x:f>
        <x:v>5</x:v>
      </x:c>
      <x:c r="L99" s="153" t="str">
        <x:f>IF(K99&gt;=6,"高介绍",IF(K99&gt;=3,"中介绍",IF(K99&gt;=1,"低介绍","未介绍")))</x:f>
        <x:v>中介绍</x:v>
      </x:c>
      <x:c r="M99" s="150" t="str">
        <x:v>Title: Dowinx Gaming Chair with Heated Massage Lumbar Support,Big and Tall Fabric Gaming Chairs for Adults with Footrest, Ergonomic Computer Game Chair with Poket S | Bullet 1–2: 【Heated Massage Gaming Chair for Long-Lasting Support】Created for those who spend extended hours sitting, the Dowinx massage chair helps ease tension in the lower bac | Bullet 3–5: sers who spend hours sitting. Whether you're gaming, working, or just unwinding, it helps maintain a pleasant sitting experience throughout. 【Versatile Chair Built for Daily Comfort】This isn’t ju</x:v>
      </x:c>
      <x:c r="N99" s="150" t="str">
        <x:v>https://www.amazon.com/dp/B0FK5PQH4J</x:v>
      </x:c>
      <x:c r="O99" s="150" t="str">
        <x:v>已验证</x:v>
      </x:c>
    </x:row>
    <x:row r="100" ht="48" customHeight="1">
      <x:c r="A100" s="206" t="str">
        <x:v>B0FK5PQH4J</x:v>
      </x:c>
      <x:c r="B100" s="150" t="str">
        <x:v>Relaxing</x:v>
      </x:c>
      <x:c r="C100" s="142" t="str">
        <x:v>用途</x:v>
      </x:c>
      <x:c r="D100" s="151" t="n">
        <x:v>1</x:v>
      </x:c>
      <x:c r="E100" s="151" t="n">
        <x:v>0</x:v>
      </x:c>
      <x:c r="F100" s="151" t="n">
        <x:v>1</x:v>
      </x:c>
      <x:c r="G100" s="151" t="n">
        <x:v>0</x:v>
      </x:c>
      <x:c r="H100" s="151" t="n">
        <x:v>0</x:v>
      </x:c>
      <x:c r="I100" s="151" t="n">
        <x:v>1</x:v>
      </x:c>
      <x:c r="J100" s="151" t="n">
        <x:v>0</x:v>
      </x:c>
      <x:c r="K100" s="152" t="n">
        <x:f>D100*2+E100*2+F100*2+G100*2+H100+I100+J100</x:f>
        <x:v>5</x:v>
      </x:c>
      <x:c r="L100" s="153" t="str">
        <x:f>IF(K100&gt;=6,"高介绍",IF(K100&gt;=3,"中介绍",IF(K100&gt;=1,"低介绍","未介绍")))</x:f>
        <x:v>中介绍</x:v>
      </x:c>
      <x:c r="M100" s="150" t="str">
        <x:v>Title: all Fabric Gaming Chairs for Adults with Footrest, Ergonomic Computer Game Chair with Poket Spring Cushions, 350lbs, Black | Bullet 1–2: hythmic kneading movements that promote deep relaxation. The adjustable warmth function encourages circulation and keeps you cozy during quiet nights or solo moments. Its innovative reversible pa | Bullet 3–5: , this gamer chair keeps you feeling dry and relaxed even during longer sessions in a warm room. Instead of trapping body heat, the specially selected textile promotes ventilation and reduces cla</x:v>
      </x:c>
      <x:c r="N100" s="150" t="str">
        <x:v>https://www.amazon.com/dp/B0FK5PQH4J</x:v>
      </x:c>
      <x:c r="O100" s="150" t="str">
        <x:v>已验证</x:v>
      </x:c>
    </x:row>
    <x:row r="101" ht="48" customHeight="1">
      <x:c r="A101" s="206" t="str">
        <x:v>B0FK5PQH4J</x:v>
      </x:c>
      <x:c r="B101" s="150" t="str">
        <x:v>Work</x:v>
      </x:c>
      <x:c r="C101" s="142" t="str">
        <x:v>用途</x:v>
      </x:c>
      <x:c r="D101" s="151" t="n">
        <x:v>0</x:v>
      </x:c>
      <x:c r="E101" s="151" t="n">
        <x:v>0</x:v>
      </x:c>
      <x:c r="F101" s="151" t="n">
        <x:v>1</x:v>
      </x:c>
      <x:c r="G101" s="151" t="n">
        <x:v>0</x:v>
      </x:c>
      <x:c r="H101" s="151" t="n">
        <x:v>1</x:v>
      </x:c>
      <x:c r="I101" s="151" t="n">
        <x:v>1</x:v>
      </x:c>
      <x:c r="J101" s="151" t="n">
        <x:v>0</x:v>
      </x:c>
      <x:c r="K101" s="152" t="n">
        <x:f>D101*2+E101*2+F101*2+G101*2+H101+I101+J101</x:f>
        <x:v>4</x:v>
      </x:c>
      <x:c r="L101" s="153" t="str">
        <x:f>IF(K101&gt;=6,"高介绍",IF(K101&gt;=3,"中介绍",IF(K101&gt;=1,"低介绍","未介绍")))</x:f>
        <x:v>中介绍</x:v>
      </x:c>
      <x:c r="M101" s="150" t="str">
        <x:v>Bullet 1–2: the massage mode—ideal for gaming marathons, office use, or casual lounging. 【Spacious Seating with Enhanced Flexibility】This adult gaming chair combines responsive coil technology and plush padd | 后部副图: 商品副图视觉/文案明确命中 | Bullet 3–5:  spend hours sitting. Whether you're gaming, working, or just unwinding, it helps maintain a pleasant sitting experience throughout. 【Versatile Chair Built for Daily Comfort】This isn’t just a gam</x:v>
      </x:c>
      <x:c r="N101" s="150" t="str">
        <x:v>https://www.amazon.com/dp/B0FK5PQH4J</x:v>
      </x:c>
      <x:c r="O101" s="150" t="str">
        <x:v>已验证</x:v>
      </x:c>
    </x:row>
    <x:row r="102" ht="48" customHeight="1">
      <x:c r="A102" s="206" t="str">
        <x:v>B0FK5PQH4J</x:v>
      </x:c>
      <x:c r="B102" s="150" t="str">
        <x:v>Computer Use</x:v>
      </x:c>
      <x:c r="C102" s="142" t="str">
        <x:v>用途</x:v>
      </x:c>
      <x:c r="D102" s="151" t="n">
        <x:v>1</x:v>
      </x:c>
      <x:c r="E102" s="151" t="n">
        <x:v>0</x:v>
      </x:c>
      <x:c r="F102" s="151" t="n">
        <x:v>0</x:v>
      </x:c>
      <x:c r="G102" s="151" t="n">
        <x:v>0</x:v>
      </x:c>
      <x:c r="H102" s="151" t="n">
        <x:v>0</x:v>
      </x:c>
      <x:c r="I102" s="151" t="n">
        <x:v>0</x:v>
      </x:c>
      <x:c r="J102" s="151" t="n">
        <x:v>0</x:v>
      </x:c>
      <x:c r="K102" s="152" t="n">
        <x:f>D102*2+E102*2+F102*2+G102*2+H102+I102+J102</x:f>
        <x:v>2</x:v>
      </x:c>
      <x:c r="L102" s="153" t="str">
        <x:f>IF(K102&gt;=6,"高介绍",IF(K102&gt;=3,"中介绍",IF(K102&gt;=1,"低介绍","未介绍")))</x:f>
        <x:v>低介绍</x:v>
      </x:c>
      <x:c r="M102" s="150" t="str">
        <x:v>Title: g Chairs for Adults with Footrest, Ergonomic Computer Game Chair with Poket Spring Cushions, 350lbs, Black</x:v>
      </x:c>
      <x:c r="N102" s="150" t="str">
        <x:v>https://www.amazon.com/dp/B0FK5PQH4J</x:v>
      </x:c>
      <x:c r="O102" s="150" t="str">
        <x:v>已验证</x:v>
      </x:c>
    </x:row>
    <x:row r="103" ht="48" customHeight="1">
      <x:c r="A103" s="206" t="str">
        <x:v>B0FK5PQH4J</x:v>
      </x:c>
      <x:c r="B103" s="150" t="str">
        <x:v>Reading</x:v>
      </x:c>
      <x:c r="C103" s="142" t="str">
        <x:v>用途</x:v>
      </x:c>
      <x:c r="D103" s="151" t="n">
        <x:v>0</x:v>
      </x:c>
      <x:c r="E103" s="151" t="n">
        <x:v>0</x:v>
      </x:c>
      <x:c r="F103" s="151" t="n">
        <x:v>0</x:v>
      </x:c>
      <x:c r="G103" s="151" t="n">
        <x:v>0</x:v>
      </x:c>
      <x:c r="H103" s="151" t="n">
        <x:v>0</x:v>
      </x:c>
      <x:c r="I103" s="151" t="n">
        <x:v>1</x:v>
      </x:c>
      <x:c r="J103" s="151" t="n">
        <x:v>0</x:v>
      </x:c>
      <x:c r="K103" s="152" t="n">
        <x:f>D103*2+E103*2+F103*2+G103*2+H103+I103+J103</x:f>
        <x:v>1</x:v>
      </x:c>
      <x:c r="L103" s="153" t="str">
        <x:f>IF(K103&gt;=6,"高介绍",IF(K103&gt;=3,"中介绍",IF(K103&gt;=1,"低介绍","未介绍")))</x:f>
        <x:v>低介绍</x:v>
      </x:c>
      <x:c r="M103" s="150" t="str">
        <x:v>Bullet 3–5: mited warranty and a responsive support team ready to help whenever you need it.</x:v>
      </x:c>
      <x:c r="N103" s="150" t="str">
        <x:v>https://www.amazon.com/dp/B0FK5PQH4J</x:v>
      </x:c>
      <x:c r="O103" s="150" t="str">
        <x:v>已验证</x:v>
      </x:c>
    </x:row>
    <x:row r="104" ht="48" customHeight="1">
      <x:c r="A104" s="206" t="str">
        <x:v>B0FK5PQH4J</x:v>
      </x:c>
      <x:c r="B104" s="150" t="str">
        <x:v>Long Hours</x:v>
      </x:c>
      <x:c r="C104" s="145" t="str">
        <x:v>频率</x:v>
      </x:c>
      <x:c r="D104" s="151" t="n">
        <x:v>0</x:v>
      </x:c>
      <x:c r="E104" s="151" t="n">
        <x:v>0</x:v>
      </x:c>
      <x:c r="F104" s="151" t="n">
        <x:v>1</x:v>
      </x:c>
      <x:c r="G104" s="151" t="n">
        <x:v>0</x:v>
      </x:c>
      <x:c r="H104" s="151" t="n">
        <x:v>1</x:v>
      </x:c>
      <x:c r="I104" s="151" t="n">
        <x:v>1</x:v>
      </x:c>
      <x:c r="J104" s="151" t="n">
        <x:v>0</x:v>
      </x:c>
      <x:c r="K104" s="152" t="n">
        <x:f>D104*2+E104*2+F104*2+G104*2+H104+I104+J104</x:f>
        <x:v>4</x:v>
      </x:c>
      <x:c r="L104" s="153" t="str">
        <x:f>IF(K104&gt;=6,"高介绍",IF(K104&gt;=3,"中介绍",IF(K104&gt;=1,"低介绍","未介绍")))</x:f>
        <x:v>中介绍</x:v>
      </x:c>
      <x:c r="M104" s="150" t="str">
        <x:v>Bullet 1–2: 【Heated Massage Gaming Chair for Long-Lasting Support】Created for those who spend extended hours sitting, the Dowinx massage chair helps ease tension in the lower back with simulated  | 后部副图: 商品副图视觉/文案明确命中 | Bullet 3–5: 【Cooling Seat Surface for Extended Use】Designed with airflow in mind, this gamer chair keeps you feeling dry and relaxed even during longer sessions in a warm room. Instead of </x:v>
      </x:c>
      <x:c r="N104" s="150" t="str">
        <x:v>https://www.amazon.com/dp/B0FK5PQH4J</x:v>
      </x:c>
      <x:c r="O104" s="150" t="str">
        <x:v>已验证</x:v>
      </x:c>
    </x:row>
    <x:row r="105" ht="48" customHeight="1">
      <x:c r="A105" s="206" t="str">
        <x:v>B0FK5PQH4J</x:v>
      </x:c>
      <x:c r="B105" s="150" t="str">
        <x:v>All-Day Use</x:v>
      </x:c>
      <x:c r="C105" s="145" t="str">
        <x:v>频率</x:v>
      </x:c>
      <x:c r="D105" s="151" t="n">
        <x:v>0</x:v>
      </x:c>
      <x:c r="E105" s="151" t="n">
        <x:v>0</x:v>
      </x:c>
      <x:c r="F105" s="151" t="n">
        <x:v>0</x:v>
      </x:c>
      <x:c r="G105" s="151" t="n">
        <x:v>0</x:v>
      </x:c>
      <x:c r="H105" s="151" t="n">
        <x:v>0</x:v>
      </x:c>
      <x:c r="I105" s="151" t="n">
        <x:v>0</x:v>
      </x:c>
      <x:c r="J105" s="151" t="n">
        <x:v>0</x:v>
      </x:c>
      <x:c r="K105" s="152" t="n">
        <x:f>D105*2+E105*2+F105*2+G105*2+H105+I105+J105</x:f>
        <x:v>0</x:v>
      </x:c>
      <x:c r="L105" s="153" t="str">
        <x:f>IF(K105&gt;=6,"高介绍",IF(K105&gt;=3,"中介绍",IF(K105&gt;=1,"低介绍","未介绍")))</x:f>
        <x:v>未介绍</x:v>
      </x:c>
      <x:c r="M105" s="150" t="str">
        <x:v>Listing 已核验，未发现该标签的明确资源位表达</x:v>
      </x:c>
      <x:c r="N105" s="150" t="str">
        <x:v>https://www.amazon.com/dp/B0FK5PQH4J</x:v>
      </x:c>
      <x:c r="O105" s="150" t="str">
        <x:v>已验证</x:v>
      </x:c>
    </x:row>
    <x:row r="106" ht="48" customHeight="1">
      <x:c r="A106" s="203" t="str">
        <x:v>B0FKM4RNW2</x:v>
      </x:c>
      <x:c r="B106" s="123" t="str">
        <x:v>Gamers</x:v>
      </x:c>
      <x:c r="C106" s="129" t="str">
        <x:v>人群</x:v>
      </x:c>
      <x:c r="D106" s="124" t="n">
        <x:v>1</x:v>
      </x:c>
      <x:c r="E106" s="124" t="n">
        <x:v>1</x:v>
      </x:c>
      <x:c r="F106" s="124" t="n">
        <x:v>1</x:v>
      </x:c>
      <x:c r="G106" s="124" t="n">
        <x:v>1</x:v>
      </x:c>
      <x:c r="H106" s="124" t="n">
        <x:v>0</x:v>
      </x:c>
      <x:c r="I106" s="124" t="n">
        <x:v>1</x:v>
      </x:c>
      <x:c r="J106" s="124" t="n">
        <x:v>1</x:v>
      </x:c>
      <x:c r="K106" s="125" t="n">
        <x:f>D106*2+E106*2+F106*2+G106*2+H106+I106+J106</x:f>
        <x:v>10</x:v>
      </x:c>
      <x:c r="L106" s="126" t="str">
        <x:f>IF(K106&gt;=6,"高介绍",IF(K106&gt;=3,"中介绍",IF(K106&gt;=1,"低介绍","未介绍")))</x:f>
        <x:v>高介绍</x:v>
      </x:c>
      <x:c r="M106" s="123" t="str">
        <x:v>Title: Dowinx Big and Tall Gaming Chair, Suede Fabric Game Chair with Pocket Spring Cushion, High Back Gamer Chair Ergonomic with Footrest for Adults Office, 440LBS, Black | Image 2–4: 商品副图视觉/文案明确命中 | Bullet 1–2: 【Premium Microsuede Gaming Chair for Ultimate Comfort​​】Experience ultra-soft, high-elasticity microfiber suede in this ​​ergonomic gaming chair​​ that outperforms standa | A+核心: deo shows the product being unpacked. fabric gaming chair | Bullet 3–5: 【Massage Gaming Chair with Spine Support​​】The adjustable lumbar cushion in this ​​gamer chair​​ delivers targeted relief and soothing massage vibrations. Its  | A+其他: gaming chair | gaming chair | gaming chair | gaming chair | Previous page Next page 1 MASSAGE FUNCTION 2 ENLARAGE SEAT CUSHION 3 PATENTED LINKAGE ARMR</x:v>
      </x:c>
      <x:c r="N106" s="123" t="str">
        <x:v>https://www.amazon.com/dp/B0FKM4RNW2</x:v>
      </x:c>
      <x:c r="O106" s="123" t="str">
        <x:v>已验证</x:v>
      </x:c>
    </x:row>
    <x:row r="107" ht="48" customHeight="1">
      <x:c r="A107" s="204" t="str">
        <x:v>B0FKM4RNW2</x:v>
      </x:c>
      <x:c r="B107" s="130" t="str">
        <x:v>Big &amp; Tall Users</x:v>
      </x:c>
      <x:c r="C107" s="136" t="str">
        <x:v>人群</x:v>
      </x:c>
      <x:c r="D107" s="131" t="n">
        <x:v>1</x:v>
      </x:c>
      <x:c r="E107" s="131" t="n">
        <x:v>1</x:v>
      </x:c>
      <x:c r="F107" s="131" t="n">
        <x:v>0</x:v>
      </x:c>
      <x:c r="G107" s="131" t="n">
        <x:v>0</x:v>
      </x:c>
      <x:c r="H107" s="131" t="n">
        <x:v>0</x:v>
      </x:c>
      <x:c r="I107" s="131" t="n">
        <x:v>1</x:v>
      </x:c>
      <x:c r="J107" s="131" t="n">
        <x:v>1</x:v>
      </x:c>
      <x:c r="K107" s="132" t="n">
        <x:f>D107*2+E107*2+F107*2+G107*2+H107+I107+J107</x:f>
        <x:v>6</x:v>
      </x:c>
      <x:c r="L107" s="133" t="str">
        <x:f>IF(K107&gt;=6,"高介绍",IF(K107&gt;=3,"中介绍",IF(K107&gt;=1,"低介绍","未介绍")))</x:f>
        <x:v>高介绍</x:v>
      </x:c>
      <x:c r="M107" s="130" t="str">
        <x:v>Title: Dowinx Big and Tall Gaming Chair, Suede Fabric Game Chair with Pocket Spring Cushion, High Back Gamer Chair Ergonomic with Footrest for Adults Office, 440LBS | Image 2–4: 商品副图视觉/文案明确命中 | Bullet 3–5: or screen 【Fully Adjustable Gaming Chair for Big &amp; Tall Users​​】Experience ultimate comfort with our extra-wide 21.5" seat and tall 32.7" backrest - making this one of the most spacious ​​gaming  | A+其他: c PU Lether PU Lether Weight Capacity 400LBS 440LBS 300LBS 400LBS 350LBS — —</x:v>
      </x:c>
      <x:c r="N107" s="130" t="str">
        <x:v>https://www.amazon.com/dp/B0FKM4RNW2</x:v>
      </x:c>
      <x:c r="O107" s="130" t="str">
        <x:v>已验证</x:v>
      </x:c>
    </x:row>
    <x:row r="108" ht="48" customHeight="1">
      <x:c r="A108" s="204" t="str">
        <x:v>B0FKM4RNW2</x:v>
      </x:c>
      <x:c r="B108" s="130" t="str">
        <x:v>Comfort Seekers</x:v>
      </x:c>
      <x:c r="C108" s="136" t="str">
        <x:v>人群</x:v>
      </x:c>
      <x:c r="D108" s="131" t="n">
        <x:v>0</x:v>
      </x:c>
      <x:c r="E108" s="131" t="n">
        <x:v>0</x:v>
      </x:c>
      <x:c r="F108" s="131" t="n">
        <x:v>1</x:v>
      </x:c>
      <x:c r="G108" s="131" t="n">
        <x:v>0</x:v>
      </x:c>
      <x:c r="H108" s="131" t="n">
        <x:v>1</x:v>
      </x:c>
      <x:c r="I108" s="131" t="n">
        <x:v>1</x:v>
      </x:c>
      <x:c r="J108" s="131" t="n">
        <x:v>0</x:v>
      </x:c>
      <x:c r="K108" s="132" t="n">
        <x:f>D108*2+E108*2+F108*2+G108*2+H108+I108+J108</x:f>
        <x:v>4</x:v>
      </x:c>
      <x:c r="L108" s="133" t="str">
        <x:f>IF(K108&gt;=6,"高介绍",IF(K108&gt;=3,"中介绍",IF(K108&gt;=1,"低介绍","未介绍")))</x:f>
        <x:v>中介绍</x:v>
      </x:c>
      <x:c r="M108" s="130" t="str">
        <x:v>Bullet 1–2: Premium Microsuede Gaming Chair for Ultimate Comfort​​】Experience ultra-soft, high-elasticity microfiber suede in this ​​ergonomic gaming chair​​ that outperforms standard fabrics. The temperatur | 后部副图: 商品副图视觉/文案明确命中 | Bullet 3–5: r for Big &amp; Tall Users​​】Experience ultimate comfort with our extra-wide 21.5" seat and tall 32.7" backrest - making this one of the most spacious ​​gaming chairs for adults​​. Featuring 3-inch a</x:v>
      </x:c>
      <x:c r="N108" s="130" t="str">
        <x:v>https://www.amazon.com/dp/B0FKM4RNW2</x:v>
      </x:c>
      <x:c r="O108" s="130" t="str">
        <x:v>已验证</x:v>
      </x:c>
    </x:row>
    <x:row r="109" ht="48" customHeight="1">
      <x:c r="A109" s="204" t="str">
        <x:v>B0FKM4RNW2</x:v>
      </x:c>
      <x:c r="B109" s="130" t="str">
        <x:v>Content Creators / Streamers</x:v>
      </x:c>
      <x:c r="C109" s="136" t="str">
        <x:v>人群</x:v>
      </x:c>
      <x:c r="D109" s="131" t="n">
        <x:v>0</x:v>
      </x:c>
      <x:c r="E109" s="131" t="n">
        <x:v>0</x:v>
      </x:c>
      <x:c r="F109" s="131" t="n">
        <x:v>0</x:v>
      </x:c>
      <x:c r="G109" s="131" t="n">
        <x:v>0</x:v>
      </x:c>
      <x:c r="H109" s="131" t="n">
        <x:v>0</x:v>
      </x:c>
      <x:c r="I109" s="131" t="n">
        <x:v>0</x:v>
      </x:c>
      <x:c r="J109" s="131" t="n">
        <x:v>0</x:v>
      </x:c>
      <x:c r="K109" s="132" t="n">
        <x:f>D109*2+E109*2+F109*2+G109*2+H109+I109+J109</x:f>
        <x:v>0</x:v>
      </x:c>
      <x:c r="L109" s="133" t="str">
        <x:f>IF(K109&gt;=6,"高介绍",IF(K109&gt;=3,"中介绍",IF(K109&gt;=1,"低介绍","未介绍")))</x:f>
        <x:v>未介绍</x:v>
      </x:c>
      <x:c r="M109" s="130" t="str">
        <x:v>Listing 已核验，未发现该标签的明确资源位表达</x:v>
      </x:c>
      <x:c r="N109" s="130" t="str">
        <x:v>https://www.amazon.com/dp/B0FKM4RNW2</x:v>
      </x:c>
      <x:c r="O109" s="130" t="str">
        <x:v>已验证</x:v>
      </x:c>
    </x:row>
    <x:row r="110" ht="48" customHeight="1">
      <x:c r="A110" s="204" t="str">
        <x:v>B0FKM4RNW2</x:v>
      </x:c>
      <x:c r="B110" s="130" t="str">
        <x:v>Office Workers</x:v>
      </x:c>
      <x:c r="C110" s="136" t="str">
        <x:v>人群</x:v>
      </x:c>
      <x:c r="D110" s="131" t="n">
        <x:v>0</x:v>
      </x:c>
      <x:c r="E110" s="131" t="n">
        <x:v>0</x:v>
      </x:c>
      <x:c r="F110" s="131" t="n">
        <x:v>0</x:v>
      </x:c>
      <x:c r="G110" s="131" t="n">
        <x:v>0</x:v>
      </x:c>
      <x:c r="H110" s="131" t="n">
        <x:v>0</x:v>
      </x:c>
      <x:c r="I110" s="131" t="n">
        <x:v>0</x:v>
      </x:c>
      <x:c r="J110" s="131" t="n">
        <x:v>0</x:v>
      </x:c>
      <x:c r="K110" s="132" t="n">
        <x:f>D110*2+E110*2+F110*2+G110*2+H110+I110+J110</x:f>
        <x:v>0</x:v>
      </x:c>
      <x:c r="L110" s="133" t="str">
        <x:f>IF(K110&gt;=6,"高介绍",IF(K110&gt;=3,"中介绍",IF(K110&gt;=1,"低介绍","未介绍")))</x:f>
        <x:v>未介绍</x:v>
      </x:c>
      <x:c r="M110" s="130" t="str">
        <x:v>Listing 已核验，未发现该标签的明确资源位表达</x:v>
      </x:c>
      <x:c r="N110" s="130" t="str">
        <x:v>https://www.amazon.com/dp/B0FKM4RNW2</x:v>
      </x:c>
      <x:c r="O110" s="130" t="str">
        <x:v>已验证</x:v>
      </x:c>
    </x:row>
    <x:row r="111" ht="48" customHeight="1">
      <x:c r="A111" s="204" t="str">
        <x:v>B0FKM4RNW2</x:v>
      </x:c>
      <x:c r="B111" s="130" t="str">
        <x:v>Office / Workspace</x:v>
      </x:c>
      <x:c r="C111" s="139" t="str">
        <x:v>场景</x:v>
      </x:c>
      <x:c r="D111" s="131" t="n">
        <x:v>1</x:v>
      </x:c>
      <x:c r="E111" s="131" t="n">
        <x:v>0</x:v>
      </x:c>
      <x:c r="F111" s="131" t="n">
        <x:v>0</x:v>
      </x:c>
      <x:c r="G111" s="131" t="n">
        <x:v>0</x:v>
      </x:c>
      <x:c r="H111" s="131" t="n">
        <x:v>0</x:v>
      </x:c>
      <x:c r="I111" s="131" t="n">
        <x:v>1</x:v>
      </x:c>
      <x:c r="J111" s="131" t="n">
        <x:v>0</x:v>
      </x:c>
      <x:c r="K111" s="132" t="n">
        <x:f>D111*2+E111*2+F111*2+G111*2+H111+I111+J111</x:f>
        <x:v>3</x:v>
      </x:c>
      <x:c r="L111" s="133" t="str">
        <x:f>IF(K111&gt;=6,"高介绍",IF(K111&gt;=3,"中介绍",IF(K111&gt;=1,"低介绍","未介绍")))</x:f>
        <x:v>中介绍</x:v>
      </x:c>
      <x:c r="M111" s="130" t="str">
        <x:v>Title: mer Chair Ergonomic with Footrest for Adults Office, 440LBS, Black | Bullet 3–5: ​​, promoting perfect posture for long hours at your desk or screen 【Fully Adjustable Gaming Chair for Big &amp; Tall Users​​】Experience ultimate comfort with our extra-wide 21.5" seat and tall 32.7"</x:v>
      </x:c>
      <x:c r="N111" s="130" t="str">
        <x:v>https://www.amazon.com/dp/B0FKM4RNW2</x:v>
      </x:c>
      <x:c r="O111" s="130" t="str">
        <x:v>已验证</x:v>
      </x:c>
    </x:row>
    <x:row r="112" ht="48" customHeight="1">
      <x:c r="A112" s="204" t="str">
        <x:v>B0FKM4RNW2</x:v>
      </x:c>
      <x:c r="B112" s="130" t="str">
        <x:v>Gaming Room / Setup</x:v>
      </x:c>
      <x:c r="C112" s="139" t="str">
        <x:v>场景</x:v>
      </x:c>
      <x:c r="D112" s="131" t="n">
        <x:v>0</x:v>
      </x:c>
      <x:c r="E112" s="131" t="n">
        <x:v>1</x:v>
      </x:c>
      <x:c r="F112" s="131" t="n">
        <x:v>0</x:v>
      </x:c>
      <x:c r="G112" s="131" t="n">
        <x:v>0</x:v>
      </x:c>
      <x:c r="H112" s="131" t="n">
        <x:v>0</x:v>
      </x:c>
      <x:c r="I112" s="131" t="n">
        <x:v>0</x:v>
      </x:c>
      <x:c r="J112" s="131" t="n">
        <x:v>0</x:v>
      </x:c>
      <x:c r="K112" s="132" t="n">
        <x:f>D112*2+E112*2+F112*2+G112*2+H112+I112+J112</x:f>
        <x:v>2</x:v>
      </x:c>
      <x:c r="L112" s="133" t="str">
        <x:f>IF(K112&gt;=6,"高介绍",IF(K112&gt;=3,"中介绍",IF(K112&gt;=1,"低介绍","未介绍")))</x:f>
        <x:v>低介绍</x:v>
      </x:c>
      <x:c r="M112" s="130" t="str">
        <x:v>Image 2–4: 商品副图视觉/文案明确命中</x:v>
      </x:c>
      <x:c r="N112" s="130" t="str">
        <x:v>https://www.amazon.com/dp/B0FKM4RNW2</x:v>
      </x:c>
      <x:c r="O112" s="130" t="str">
        <x:v>已验证</x:v>
      </x:c>
    </x:row>
    <x:row r="113" ht="48" customHeight="1">
      <x:c r="A113" s="204" t="str">
        <x:v>B0FKM4RNW2</x:v>
      </x:c>
      <x:c r="B113" s="130" t="str">
        <x:v>Entertainment / Leisure Space</x:v>
      </x:c>
      <x:c r="C113" s="139" t="str">
        <x:v>场景</x:v>
      </x:c>
      <x:c r="D113" s="131" t="n">
        <x:v>0</x:v>
      </x:c>
      <x:c r="E113" s="131" t="n">
        <x:v>0</x:v>
      </x:c>
      <x:c r="F113" s="131" t="n">
        <x:v>0</x:v>
      </x:c>
      <x:c r="G113" s="131" t="n">
        <x:v>0</x:v>
      </x:c>
      <x:c r="H113" s="131" t="n">
        <x:v>1</x:v>
      </x:c>
      <x:c r="I113" s="131" t="n">
        <x:v>0</x:v>
      </x:c>
      <x:c r="J113" s="131" t="n">
        <x:v>0</x:v>
      </x:c>
      <x:c r="K113" s="132" t="n">
        <x:f>D113*2+E113*2+F113*2+G113*2+H113+I113+J113</x:f>
        <x:v>1</x:v>
      </x:c>
      <x:c r="L113" s="133" t="str">
        <x:f>IF(K113&gt;=6,"高介绍",IF(K113&gt;=3,"中介绍",IF(K113&gt;=1,"低介绍","未介绍")))</x:f>
        <x:v>低介绍</x:v>
      </x:c>
      <x:c r="M113" s="130" t="str">
        <x:v>后部副图: 商品副图视觉/文案明确命中</x:v>
      </x:c>
      <x:c r="N113" s="130" t="str">
        <x:v>https://www.amazon.com/dp/B0FKM4RNW2</x:v>
      </x:c>
      <x:c r="O113" s="130" t="str">
        <x:v>已验证</x:v>
      </x:c>
    </x:row>
    <x:row r="114" ht="48" customHeight="1">
      <x:c r="A114" s="204" t="str">
        <x:v>B0FKM4RNW2</x:v>
      </x:c>
      <x:c r="B114" s="130" t="str">
        <x:v>Home Office</x:v>
      </x:c>
      <x:c r="C114" s="139" t="str">
        <x:v>场景</x:v>
      </x:c>
      <x:c r="D114" s="131" t="n">
        <x:v>0</x:v>
      </x:c>
      <x:c r="E114" s="131" t="n">
        <x:v>0</x:v>
      </x:c>
      <x:c r="F114" s="131" t="n">
        <x:v>0</x:v>
      </x:c>
      <x:c r="G114" s="131" t="n">
        <x:v>0</x:v>
      </x:c>
      <x:c r="H114" s="131" t="n">
        <x:v>0</x:v>
      </x:c>
      <x:c r="I114" s="131" t="n">
        <x:v>0</x:v>
      </x:c>
      <x:c r="J114" s="131" t="n">
        <x:v>0</x:v>
      </x:c>
      <x:c r="K114" s="132" t="n">
        <x:f>D114*2+E114*2+F114*2+G114*2+H114+I114+J114</x:f>
        <x:v>0</x:v>
      </x:c>
      <x:c r="L114" s="133" t="str">
        <x:f>IF(K114&gt;=6,"高介绍",IF(K114&gt;=3,"中介绍",IF(K114&gt;=1,"低介绍","未介绍")))</x:f>
        <x:v>未介绍</x:v>
      </x:c>
      <x:c r="M114" s="130" t="str">
        <x:v>Listing 已核验，未发现该标签的明确资源位表达</x:v>
      </x:c>
      <x:c r="N114" s="130" t="str">
        <x:v>https://www.amazon.com/dp/B0FKM4RNW2</x:v>
      </x:c>
      <x:c r="O114" s="130" t="str">
        <x:v>已验证</x:v>
      </x:c>
    </x:row>
    <x:row r="115" ht="48" customHeight="1">
      <x:c r="A115" s="204" t="str">
        <x:v>B0FKM4RNW2</x:v>
      </x:c>
      <x:c r="B115" s="130" t="str">
        <x:v>Streaming / Content Creation Setup</x:v>
      </x:c>
      <x:c r="C115" s="139" t="str">
        <x:v>场景</x:v>
      </x:c>
      <x:c r="D115" s="131" t="n">
        <x:v>0</x:v>
      </x:c>
      <x:c r="E115" s="131" t="n">
        <x:v>0</x:v>
      </x:c>
      <x:c r="F115" s="131" t="n">
        <x:v>0</x:v>
      </x:c>
      <x:c r="G115" s="131" t="n">
        <x:v>0</x:v>
      </x:c>
      <x:c r="H115" s="131" t="n">
        <x:v>0</x:v>
      </x:c>
      <x:c r="I115" s="131" t="n">
        <x:v>0</x:v>
      </x:c>
      <x:c r="J115" s="131" t="n">
        <x:v>0</x:v>
      </x:c>
      <x:c r="K115" s="132" t="n">
        <x:f>D115*2+E115*2+F115*2+G115*2+H115+I115+J115</x:f>
        <x:v>0</x:v>
      </x:c>
      <x:c r="L115" s="133" t="str">
        <x:f>IF(K115&gt;=6,"高介绍",IF(K115&gt;=3,"中介绍",IF(K115&gt;=1,"低介绍","未介绍")))</x:f>
        <x:v>未介绍</x:v>
      </x:c>
      <x:c r="M115" s="130" t="str">
        <x:v>Listing 已核验，未发现该标签的明确资源位表达</x:v>
      </x:c>
      <x:c r="N115" s="130" t="str">
        <x:v>https://www.amazon.com/dp/B0FKM4RNW2</x:v>
      </x:c>
      <x:c r="O115" s="130" t="str">
        <x:v>已验证</x:v>
      </x:c>
    </x:row>
    <x:row r="116" ht="48" customHeight="1">
      <x:c r="A116" s="204" t="str">
        <x:v>B0FKM4RNW2</x:v>
      </x:c>
      <x:c r="B116" s="130" t="str">
        <x:v>Study Area</x:v>
      </x:c>
      <x:c r="C116" s="139" t="str">
        <x:v>场景</x:v>
      </x:c>
      <x:c r="D116" s="131" t="n">
        <x:v>0</x:v>
      </x:c>
      <x:c r="E116" s="131" t="n">
        <x:v>0</x:v>
      </x:c>
      <x:c r="F116" s="131" t="n">
        <x:v>0</x:v>
      </x:c>
      <x:c r="G116" s="131" t="n">
        <x:v>0</x:v>
      </x:c>
      <x:c r="H116" s="131" t="n">
        <x:v>0</x:v>
      </x:c>
      <x:c r="I116" s="131" t="n">
        <x:v>0</x:v>
      </x:c>
      <x:c r="J116" s="131" t="n">
        <x:v>0</x:v>
      </x:c>
      <x:c r="K116" s="132" t="n">
        <x:f>D116*2+E116*2+F116*2+G116*2+H116+I116+J116</x:f>
        <x:v>0</x:v>
      </x:c>
      <x:c r="L116" s="133" t="str">
        <x:f>IF(K116&gt;=6,"高介绍",IF(K116&gt;=3,"中介绍",IF(K116&gt;=1,"低介绍","未介绍")))</x:f>
        <x:v>未介绍</x:v>
      </x:c>
      <x:c r="M116" s="130" t="str">
        <x:v>Listing 已核验，未发现该标签的明确资源位表达</x:v>
      </x:c>
      <x:c r="N116" s="130" t="str">
        <x:v>https://www.amazon.com/dp/B0FKM4RNW2</x:v>
      </x:c>
      <x:c r="O116" s="130" t="str">
        <x:v>已验证</x:v>
      </x:c>
    </x:row>
    <x:row r="117" ht="48" customHeight="1">
      <x:c r="A117" s="204" t="str">
        <x:v>B0FKM4RNW2</x:v>
      </x:c>
      <x:c r="B117" s="130" t="str">
        <x:v>Gaming</x:v>
      </x:c>
      <x:c r="C117" s="142" t="str">
        <x:v>用途</x:v>
      </x:c>
      <x:c r="D117" s="131" t="n">
        <x:v>1</x:v>
      </x:c>
      <x:c r="E117" s="131" t="n">
        <x:v>1</x:v>
      </x:c>
      <x:c r="F117" s="131" t="n">
        <x:v>1</x:v>
      </x:c>
      <x:c r="G117" s="131" t="n">
        <x:v>1</x:v>
      </x:c>
      <x:c r="H117" s="131" t="n">
        <x:v>0</x:v>
      </x:c>
      <x:c r="I117" s="131" t="n">
        <x:v>1</x:v>
      </x:c>
      <x:c r="J117" s="131" t="n">
        <x:v>1</x:v>
      </x:c>
      <x:c r="K117" s="132" t="n">
        <x:f>D117*2+E117*2+F117*2+G117*2+H117+I117+J117</x:f>
        <x:v>10</x:v>
      </x:c>
      <x:c r="L117" s="133" t="str">
        <x:f>IF(K117&gt;=6,"高介绍",IF(K117&gt;=3,"中介绍",IF(K117&gt;=1,"低介绍","未介绍")))</x:f>
        <x:v>高介绍</x:v>
      </x:c>
      <x:c r="M117" s="130" t="str">
        <x:v>Title: Dowinx Big and Tall Gaming Chair, Suede Fabric Game Chair with Pocket Spring Cushion, High Back Gamer Chair Ergonomic with Footrest for Adults Office, 440LBS, Black | Image 2–4: 商品副图视觉/文案明确命中 | Bullet 1–2: 【Premium Microsuede Gaming Chair for Ultimate Comfort​​】Experience ultra-soft, high-elasticity microfiber suede in this ​​ergonomic gaming chair​​ that outperforms standa | A+核心: deo shows the product being unpacked. fabric gaming chair | Bullet 3–5: 【Massage Gaming Chair with Spine Support​​】The adjustable lumbar cushion in this ​​gamer chair​​ delivers targeted relief and soothing massage vibrations. Its  | A+其他: gaming chair | gaming chair | gaming chair | gaming chair | Previous page Next page 1 MASSAGE FUNCTION 2 ENLARAGE SEAT CUSHION 3 PATENTED LINKAGE ARMR</x:v>
      </x:c>
      <x:c r="N117" s="130" t="str">
        <x:v>https://www.amazon.com/dp/B0FKM4RNW2</x:v>
      </x:c>
      <x:c r="O117" s="130" t="str">
        <x:v>已验证</x:v>
      </x:c>
    </x:row>
    <x:row r="118" ht="48" customHeight="1">
      <x:c r="A118" s="204" t="str">
        <x:v>B0FKM4RNW2</x:v>
      </x:c>
      <x:c r="B118" s="130" t="str">
        <x:v>Relaxing</x:v>
      </x:c>
      <x:c r="C118" s="142" t="str">
        <x:v>用途</x:v>
      </x:c>
      <x:c r="D118" s="131" t="n">
        <x:v>1</x:v>
      </x:c>
      <x:c r="E118" s="131" t="n">
        <x:v>0</x:v>
      </x:c>
      <x:c r="F118" s="131" t="n">
        <x:v>1</x:v>
      </x:c>
      <x:c r="G118" s="131" t="n">
        <x:v>0</x:v>
      </x:c>
      <x:c r="H118" s="131" t="n">
        <x:v>1</x:v>
      </x:c>
      <x:c r="I118" s="131" t="n">
        <x:v>1</x:v>
      </x:c>
      <x:c r="J118" s="131" t="n">
        <x:v>1</x:v>
      </x:c>
      <x:c r="K118" s="132" t="n">
        <x:f>D118*2+E118*2+F118*2+G118*2+H118+I118+J118</x:f>
        <x:v>7</x:v>
      </x:c>
      <x:c r="L118" s="133" t="str">
        <x:f>IF(K118&gt;=6,"高介绍",IF(K118&gt;=3,"中介绍",IF(K118&gt;=1,"低介绍","未介绍")))</x:f>
        <x:v>高介绍</x:v>
      </x:c>
      <x:c r="M118" s="130" t="str">
        <x:v>Title: on, High Back Gamer Chair Ergonomic with Footrest for Adults Office, 440LBS, Black | Bullet 1–2: pring system in this ​​gaming chair with footrest​​. Enjoy superior pressure relief and lasting support during extended gaming or work sessions - the ultimate ​​game chair for adults​​ designed f | 后部副图: 商品副图视觉/文案明确命中 | Bullet 3–5: our extra-wide 21.5" seat and tall 32.7" backrest - making this one of the most spacious ​​gaming chairs for adults​​. Featuring 3-inch adjustable lumbar pillow, customizable armrests and retract | A+其他:  ENLARAGE SEAT CUSHION 3 PATENTED LINKAGE ARMREST 4 RETRACTABLE FOOTREST | gaming chair | More Choices for You LS-6689 Buying Options LS-66D68E Buying Options LS-66D55 Buying Options LS-6689S Buy</x:v>
      </x:c>
      <x:c r="N118" s="130" t="str">
        <x:v>https://www.amazon.com/dp/B0FKM4RNW2</x:v>
      </x:c>
      <x:c r="O118" s="130" t="str">
        <x:v>已验证</x:v>
      </x:c>
    </x:row>
    <x:row r="119" ht="48" customHeight="1">
      <x:c r="A119" s="204" t="str">
        <x:v>B0FKM4RNW2</x:v>
      </x:c>
      <x:c r="B119" s="130" t="str">
        <x:v>Work</x:v>
      </x:c>
      <x:c r="C119" s="142" t="str">
        <x:v>用途</x:v>
      </x:c>
      <x:c r="D119" s="131" t="n">
        <x:v>1</x:v>
      </x:c>
      <x:c r="E119" s="131" t="n">
        <x:v>0</x:v>
      </x:c>
      <x:c r="F119" s="131" t="n">
        <x:v>1</x:v>
      </x:c>
      <x:c r="G119" s="131" t="n">
        <x:v>0</x:v>
      </x:c>
      <x:c r="H119" s="131" t="n">
        <x:v>0</x:v>
      </x:c>
      <x:c r="I119" s="131" t="n">
        <x:v>1</x:v>
      </x:c>
      <x:c r="J119" s="131" t="n">
        <x:v>0</x:v>
      </x:c>
      <x:c r="K119" s="132" t="n">
        <x:f>D119*2+E119*2+F119*2+G119*2+H119+I119+J119</x:f>
        <x:v>5</x:v>
      </x:c>
      <x:c r="L119" s="133" t="str">
        <x:f>IF(K119&gt;=6,"高介绍",IF(K119&gt;=3,"中介绍",IF(K119&gt;=1,"低介绍","未介绍")))</x:f>
        <x:v>中介绍</x:v>
      </x:c>
      <x:c r="M119" s="130" t="str">
        <x:v>Title: mer Chair Ergonomic with Footrest for Adults Office, 440LBS, Black | Bullet 1–2: nd lasting support during extended gaming or work sessions - the ultimate ​​game chair for adults​​ designed for all-day comfort | Bullet 3–5: oting perfect posture for long hours at your desk or screen 【Fully Adjustable Gaming Chair for Big &amp; Tall Users​​】Experience ultimate comfort with our extra-wide 21.5" seat and tall 32.7" backres</x:v>
      </x:c>
      <x:c r="N119" s="130" t="str">
        <x:v>https://www.amazon.com/dp/B0FKM4RNW2</x:v>
      </x:c>
      <x:c r="O119" s="130" t="str">
        <x:v>已验证</x:v>
      </x:c>
    </x:row>
    <x:row r="120" ht="48" customHeight="1">
      <x:c r="A120" s="204" t="str">
        <x:v>B0FKM4RNW2</x:v>
      </x:c>
      <x:c r="B120" s="130" t="str">
        <x:v>Reading</x:v>
      </x:c>
      <x:c r="C120" s="142" t="str">
        <x:v>用途</x:v>
      </x:c>
      <x:c r="D120" s="131" t="n">
        <x:v>0</x:v>
      </x:c>
      <x:c r="E120" s="131" t="n">
        <x:v>0</x:v>
      </x:c>
      <x:c r="F120" s="131" t="n">
        <x:v>0</x:v>
      </x:c>
      <x:c r="G120" s="131" t="n">
        <x:v>0</x:v>
      </x:c>
      <x:c r="H120" s="131" t="n">
        <x:v>0</x:v>
      </x:c>
      <x:c r="I120" s="131" t="n">
        <x:v>0</x:v>
      </x:c>
      <x:c r="J120" s="131" t="n">
        <x:v>0</x:v>
      </x:c>
      <x:c r="K120" s="132" t="n">
        <x:f>D120*2+E120*2+F120*2+G120*2+H120+I120+J120</x:f>
        <x:v>0</x:v>
      </x:c>
      <x:c r="L120" s="133" t="str">
        <x:f>IF(K120&gt;=6,"高介绍",IF(K120&gt;=3,"中介绍",IF(K120&gt;=1,"低介绍","未介绍")))</x:f>
        <x:v>未介绍</x:v>
      </x:c>
      <x:c r="M120" s="130" t="str">
        <x:v>Listing 已核验，未发现该标签的明确资源位表达</x:v>
      </x:c>
      <x:c r="N120" s="130" t="str">
        <x:v>https://www.amazon.com/dp/B0FKM4RNW2</x:v>
      </x:c>
      <x:c r="O120" s="130" t="str">
        <x:v>已验证</x:v>
      </x:c>
    </x:row>
    <x:row r="121" ht="48" customHeight="1">
      <x:c r="A121" s="204" t="str">
        <x:v>B0FKM4RNW2</x:v>
      </x:c>
      <x:c r="B121" s="130" t="str">
        <x:v>All-Day Use</x:v>
      </x:c>
      <x:c r="C121" s="145" t="str">
        <x:v>频率</x:v>
      </x:c>
      <x:c r="D121" s="131" t="n">
        <x:v>0</x:v>
      </x:c>
      <x:c r="E121" s="131" t="n">
        <x:v>0</x:v>
      </x:c>
      <x:c r="F121" s="131" t="n">
        <x:v>1</x:v>
      </x:c>
      <x:c r="G121" s="131" t="n">
        <x:v>0</x:v>
      </x:c>
      <x:c r="H121" s="131" t="n">
        <x:v>1</x:v>
      </x:c>
      <x:c r="I121" s="131" t="n">
        <x:v>0</x:v>
      </x:c>
      <x:c r="J121" s="131" t="n">
        <x:v>0</x:v>
      </x:c>
      <x:c r="K121" s="132" t="n">
        <x:f>D121*2+E121*2+F121*2+G121*2+H121+I121+J121</x:f>
        <x:v>3</x:v>
      </x:c>
      <x:c r="L121" s="133" t="str">
        <x:f>IF(K121&gt;=6,"高介绍",IF(K121&gt;=3,"中介绍",IF(K121&gt;=1,"低介绍","未介绍")))</x:f>
        <x:v>中介绍</x:v>
      </x:c>
      <x:c r="M121" s="130" t="str">
        <x:v>Bullet 1–2: imate ​​game chair for adults​​ designed for all-day comfort | 后部副图: 商品副图视觉/文案明确命中</x:v>
      </x:c>
      <x:c r="N121" s="130" t="str">
        <x:v>https://www.amazon.com/dp/B0FKM4RNW2</x:v>
      </x:c>
      <x:c r="O121" s="130" t="str">
        <x:v>已验证</x:v>
      </x:c>
    </x:row>
    <x:row r="122" ht="48" customHeight="1">
      <x:c r="A122" s="204" t="str">
        <x:v>B0FKM4RNW2</x:v>
      </x:c>
      <x:c r="B122" s="130" t="str">
        <x:v>Extended Sessions</x:v>
      </x:c>
      <x:c r="C122" s="145" t="str">
        <x:v>频率</x:v>
      </x:c>
      <x:c r="D122" s="131" t="n">
        <x:v>0</x:v>
      </x:c>
      <x:c r="E122" s="131" t="n">
        <x:v>0</x:v>
      </x:c>
      <x:c r="F122" s="131" t="n">
        <x:v>1</x:v>
      </x:c>
      <x:c r="G122" s="131" t="n">
        <x:v>0</x:v>
      </x:c>
      <x:c r="H122" s="131" t="n">
        <x:v>0</x:v>
      </x:c>
      <x:c r="I122" s="131" t="n">
        <x:v>0</x:v>
      </x:c>
      <x:c r="J122" s="131" t="n">
        <x:v>0</x:v>
      </x:c>
      <x:c r="K122" s="132" t="n">
        <x:f>D122*2+E122*2+F122*2+G122*2+H122+I122+J122</x:f>
        <x:v>2</x:v>
      </x:c>
      <x:c r="L122" s="133" t="str">
        <x:f>IF(K122&gt;=6,"高介绍",IF(K122&gt;=3,"中介绍",IF(K122&gt;=1,"低介绍","未介绍")))</x:f>
        <x:v>低介绍</x:v>
      </x:c>
      <x:c r="M122" s="130" t="str">
        <x:v>Bullet 1–2: de resists pilling and sagging - perfect for marathon sessions in your ​​gamer chair for adults​​ 【Plush, Form-Fitting Gaming Chair with Cloud Comfort​​】Sink into our extra-thick seat cushion fea</x:v>
      </x:c>
      <x:c r="N122" s="130" t="str">
        <x:v>https://www.amazon.com/dp/B0FKM4RNW2</x:v>
      </x:c>
      <x:c r="O122" s="130" t="str">
        <x:v>已验证</x:v>
      </x:c>
    </x:row>
    <x:row r="123" ht="48" customHeight="1">
      <x:c r="A123" s="205" t="str">
        <x:v>B0FRMQ5X9R</x:v>
      </x:c>
      <x:c r="B123" s="146" t="str">
        <x:v>Gamers</x:v>
      </x:c>
      <x:c r="C123" s="129" t="str">
        <x:v>人群</x:v>
      </x:c>
      <x:c r="D123" s="147" t="n">
        <x:v>1</x:v>
      </x:c>
      <x:c r="E123" s="147" t="n">
        <x:v>0</x:v>
      </x:c>
      <x:c r="F123" s="147" t="n">
        <x:v>1</x:v>
      </x:c>
      <x:c r="G123" s="147" t="n">
        <x:v>1</x:v>
      </x:c>
      <x:c r="H123" s="147" t="n">
        <x:v>0</x:v>
      </x:c>
      <x:c r="I123" s="147" t="n">
        <x:v>1</x:v>
      </x:c>
      <x:c r="J123" s="147" t="n">
        <x:v>1</x:v>
      </x:c>
      <x:c r="K123" s="148" t="n">
        <x:f>D123*2+E123*2+F123*2+G123*2+H123+I123+J123</x:f>
        <x:v>8</x:v>
      </x:c>
      <x:c r="L123" s="149" t="str">
        <x:f>IF(K123&gt;=6,"高介绍",IF(K123&gt;=3,"中介绍",IF(K123&gt;=1,"低介绍","未介绍")))</x:f>
        <x:v>高介绍</x:v>
      </x:c>
      <x:c r="M123" s="146" t="str">
        <x:v>Title: Dowinx Ergonomic Gaming Chair with Footrest &amp; Massage Lumbar, 2D-Linkage Armrests for Computer Chair 330lbs with Headrest Pillow for Office, Home, Streaming and Long G | Bullet 1–2: eep your arms supported as you recline while gaming, working, or relaxing Spring Cushion Seat – No More Flat, Hard Seats: Unlike chairs that go flat after a few weeks, the Spring Cushion Seat wit | A+核心: gaming chair | Bullet 3–5: d – Stable, Safe, Certified: This Heavy Duty Gaming Chair supports up to 330lbs, built with an aluminum five-star base, SGS-certified gas lift, and smooth rolling casters. No wobbling, no squeaks | A+其他: gaming chair | gaming chair | gaming chair | gaming chair | More Choices for You Dowinx 6658 Gaming Chair Buying Options Dowinx 6657D Gaming Chair Buy</x:v>
      </x:c>
      <x:c r="N123" s="146" t="str">
        <x:v>https://www.amazon.com/dp/B0FRMQ5X9R</x:v>
      </x:c>
      <x:c r="O123" s="146" t="str">
        <x:v>已验证</x:v>
      </x:c>
    </x:row>
    <x:row r="124" ht="48" customHeight="1">
      <x:c r="A124" s="206" t="str">
        <x:v>B0FRMQ5X9R</x:v>
      </x:c>
      <x:c r="B124" s="150" t="str">
        <x:v>Back Support Seekers</x:v>
      </x:c>
      <x:c r="C124" s="136" t="str">
        <x:v>人群</x:v>
      </x:c>
      <x:c r="D124" s="151" t="n">
        <x:v>1</x:v>
      </x:c>
      <x:c r="E124" s="151" t="n">
        <x:v>0</x:v>
      </x:c>
      <x:c r="F124" s="151" t="n">
        <x:v>0</x:v>
      </x:c>
      <x:c r="G124" s="151" t="n">
        <x:v>0</x:v>
      </x:c>
      <x:c r="H124" s="151" t="n">
        <x:v>0</x:v>
      </x:c>
      <x:c r="I124" s="151" t="n">
        <x:v>1</x:v>
      </x:c>
      <x:c r="J124" s="151" t="n">
        <x:v>0</x:v>
      </x:c>
      <x:c r="K124" s="152" t="n">
        <x:f>D124*2+E124*2+F124*2+G124*2+H124+I124+J124</x:f>
        <x:v>3</x:v>
      </x:c>
      <x:c r="L124" s="153" t="str">
        <x:f>IF(K124&gt;=6,"高介绍",IF(K124&gt;=3,"中介绍",IF(K124&gt;=1,"低介绍","未介绍")))</x:f>
        <x:v>中介绍</x:v>
      </x:c>
      <x:c r="M124" s="150" t="str">
        <x:v>Title: gonomic Gaming Chair with Footrest &amp; Massage Lumbar, 2D-Linkage Armrests for Computer Chair 330lbs with Headrest Pillow for Office, Home, Streaming and Long Gaming Sessions, Black | Bullet 3–5: ine back up to 150°. Adjust the headrest and lumbar pillow to find the perfect fit for your posture, whether you’re watching streams, working at your desk, or taking a quick break. Heavy Duty 330</x:v>
      </x:c>
      <x:c r="N124" s="150" t="str">
        <x:v>https://www.amazon.com/dp/B0FRMQ5X9R</x:v>
      </x:c>
      <x:c r="O124" s="150" t="str">
        <x:v>已验证</x:v>
      </x:c>
    </x:row>
    <x:row r="125" ht="48" customHeight="1">
      <x:c r="A125" s="206" t="str">
        <x:v>B0FRMQ5X9R</x:v>
      </x:c>
      <x:c r="B125" s="150" t="str">
        <x:v>Content Creators / Streamers</x:v>
      </x:c>
      <x:c r="C125" s="136" t="str">
        <x:v>人群</x:v>
      </x:c>
      <x:c r="D125" s="151" t="n">
        <x:v>1</x:v>
      </x:c>
      <x:c r="E125" s="151" t="n">
        <x:v>0</x:v>
      </x:c>
      <x:c r="F125" s="151" t="n">
        <x:v>0</x:v>
      </x:c>
      <x:c r="G125" s="151" t="n">
        <x:v>0</x:v>
      </x:c>
      <x:c r="H125" s="151" t="n">
        <x:v>0</x:v>
      </x:c>
      <x:c r="I125" s="151" t="n">
        <x:v>1</x:v>
      </x:c>
      <x:c r="J125" s="151" t="n">
        <x:v>0</x:v>
      </x:c>
      <x:c r="K125" s="152" t="n">
        <x:f>D125*2+E125*2+F125*2+G125*2+H125+I125+J125</x:f>
        <x:v>3</x:v>
      </x:c>
      <x:c r="L125" s="153" t="str">
        <x:f>IF(K125&gt;=6,"高介绍",IF(K125&gt;=3,"中介绍",IF(K125&gt;=1,"低介绍","未介绍")))</x:f>
        <x:v>中介绍</x:v>
      </x:c>
      <x:c r="M125" s="150" t="str">
        <x:v>Title: 30lbs with Headrest Pillow for Office, Home, Streaming and Long Gaming Sessions, Black | Bullet 3–5: it for your posture, whether you’re watching streams, working at your desk, or taking a quick break. Heavy Duty 330lbs Build – Stable, Safe, Certified: This Heavy Duty Gaming Chair supports up to</x:v>
      </x:c>
      <x:c r="N125" s="150" t="str">
        <x:v>https://www.amazon.com/dp/B0FRMQ5X9R</x:v>
      </x:c>
      <x:c r="O125" s="150" t="str">
        <x:v>已验证</x:v>
      </x:c>
    </x:row>
    <x:row r="126" ht="48" customHeight="1">
      <x:c r="A126" s="206" t="str">
        <x:v>B0FRMQ5X9R</x:v>
      </x:c>
      <x:c r="B126" s="150" t="str">
        <x:v>Students</x:v>
      </x:c>
      <x:c r="C126" s="136" t="str">
        <x:v>人群</x:v>
      </x:c>
      <x:c r="D126" s="151" t="n">
        <x:v>0</x:v>
      </x:c>
      <x:c r="E126" s="151" t="n">
        <x:v>0</x:v>
      </x:c>
      <x:c r="F126" s="151" t="n">
        <x:v>1</x:v>
      </x:c>
      <x:c r="G126" s="151" t="n">
        <x:v>0</x:v>
      </x:c>
      <x:c r="H126" s="151" t="n">
        <x:v>0</x:v>
      </x:c>
      <x:c r="I126" s="151" t="n">
        <x:v>0</x:v>
      </x:c>
      <x:c r="J126" s="151" t="n">
        <x:v>0</x:v>
      </x:c>
      <x:c r="K126" s="152" t="n">
        <x:f>D126*2+E126*2+F126*2+G126*2+H126+I126+J126</x:f>
        <x:v>2</x:v>
      </x:c>
      <x:c r="L126" s="153" t="str">
        <x:f>IF(K126&gt;=6,"高介绍",IF(K126&gt;=3,"中介绍",IF(K126&gt;=1,"低介绍","未介绍")))</x:f>
        <x:v>低介绍</x:v>
      </x:c>
      <x:c r="M126" s="150" t="str">
        <x:v>Bullet 1–2: gh competitive esports matches or late-night study sessions without discomfort.</x:v>
      </x:c>
      <x:c r="N126" s="150" t="str">
        <x:v>https://www.amazon.com/dp/B0FRMQ5X9R</x:v>
      </x:c>
      <x:c r="O126" s="150" t="str">
        <x:v>已验证</x:v>
      </x:c>
    </x:row>
    <x:row r="127" ht="48" customHeight="1">
      <x:c r="A127" s="206" t="str">
        <x:v>B0FRMQ5X9R</x:v>
      </x:c>
      <x:c r="B127" s="150" t="str">
        <x:v>Office Workers</x:v>
      </x:c>
      <x:c r="C127" s="136" t="str">
        <x:v>人群</x:v>
      </x:c>
      <x:c r="D127" s="151" t="n">
        <x:v>0</x:v>
      </x:c>
      <x:c r="E127" s="151" t="n">
        <x:v>0</x:v>
      </x:c>
      <x:c r="F127" s="151" t="n">
        <x:v>0</x:v>
      </x:c>
      <x:c r="G127" s="151" t="n">
        <x:v>0</x:v>
      </x:c>
      <x:c r="H127" s="151" t="n">
        <x:v>0</x:v>
      </x:c>
      <x:c r="I127" s="151" t="n">
        <x:v>1</x:v>
      </x:c>
      <x:c r="J127" s="151" t="n">
        <x:v>0</x:v>
      </x:c>
      <x:c r="K127" s="152" t="n">
        <x:f>D127*2+E127*2+F127*2+G127*2+H127+I127+J127</x:f>
        <x:v>1</x:v>
      </x:c>
      <x:c r="L127" s="153" t="str">
        <x:f>IF(K127&gt;=6,"高介绍",IF(K127&gt;=3,"中介绍",IF(K127&gt;=1,"低介绍","未介绍")))</x:f>
        <x:v>低介绍</x:v>
      </x:c>
      <x:c r="M127" s="150" t="str">
        <x:v>Bullet 3–5: ack pain is the #1 complaint from gamers and office workers. Our Ergonomic Gaming Chair with Massage Lumbar Pillow delivers soothing support that keeps your spine aligned during long gaming sessi</x:v>
      </x:c>
      <x:c r="N127" s="150" t="str">
        <x:v>https://www.amazon.com/dp/B0FRMQ5X9R</x:v>
      </x:c>
      <x:c r="O127" s="150" t="str">
        <x:v>已验证</x:v>
      </x:c>
    </x:row>
    <x:row r="128" ht="48" customHeight="1">
      <x:c r="A128" s="206" t="str">
        <x:v>B0FRMQ5X9R</x:v>
      </x:c>
      <x:c r="B128" s="150" t="str">
        <x:v>Office / Workspace</x:v>
      </x:c>
      <x:c r="C128" s="139" t="str">
        <x:v>场景</x:v>
      </x:c>
      <x:c r="D128" s="151" t="n">
        <x:v>1</x:v>
      </x:c>
      <x:c r="E128" s="151" t="n">
        <x:v>1</x:v>
      </x:c>
      <x:c r="F128" s="151" t="n">
        <x:v>1</x:v>
      </x:c>
      <x:c r="G128" s="151" t="n">
        <x:v>0</x:v>
      </x:c>
      <x:c r="H128" s="151" t="n">
        <x:v>1</x:v>
      </x:c>
      <x:c r="I128" s="151" t="n">
        <x:v>1</x:v>
      </x:c>
      <x:c r="J128" s="151" t="n">
        <x:v>0</x:v>
      </x:c>
      <x:c r="K128" s="152" t="n">
        <x:f>D128*2+E128*2+F128*2+G128*2+H128+I128+J128</x:f>
        <x:v>8</x:v>
      </x:c>
      <x:c r="L128" s="153" t="str">
        <x:f>IF(K128&gt;=6,"高介绍",IF(K128&gt;=3,"中介绍",IF(K128&gt;=1,"低介绍","未介绍")))</x:f>
        <x:v>高介绍</x:v>
      </x:c>
      <x:c r="M128" s="150" t="str">
        <x:v>Title: mputer Chair 330lbs with Headrest Pillow for Office, Home, Streaming and Long Gaming Sessions, Black | Image 2–4: 商品副图视觉/文案明确命中 | Bullet 1–2: ust vertically to better match your body and desk height. This helps your elbows rest naturally and reduces shoulder and arm fatigue, especially for taller users who often find standard armrests  | 后部副图: 商品副图视觉/文案明确命中 | Bullet 3–5: re, whether you’re watching streams, working at your desk, or taking a quick break. Heavy Duty 330lbs Build – Stable, Safe, Certified: This Heavy Duty Gaming Chair supports up to 330lbs, built wi</x:v>
      </x:c>
      <x:c r="N128" s="150" t="str">
        <x:v>https://www.amazon.com/dp/B0FRMQ5X9R</x:v>
      </x:c>
      <x:c r="O128" s="150" t="str">
        <x:v>已验证</x:v>
      </x:c>
    </x:row>
    <x:row r="129" ht="48" customHeight="1">
      <x:c r="A129" s="206" t="str">
        <x:v>B0FRMQ5X9R</x:v>
      </x:c>
      <x:c r="B129" s="150" t="str">
        <x:v>Entertainment / Leisure Space</x:v>
      </x:c>
      <x:c r="C129" s="139" t="str">
        <x:v>场景</x:v>
      </x:c>
      <x:c r="D129" s="151" t="n">
        <x:v>0</x:v>
      </x:c>
      <x:c r="E129" s="151" t="n">
        <x:v>0</x:v>
      </x:c>
      <x:c r="F129" s="151" t="n">
        <x:v>1</x:v>
      </x:c>
      <x:c r="G129" s="151" t="n">
        <x:v>0</x:v>
      </x:c>
      <x:c r="H129" s="151" t="n">
        <x:v>1</x:v>
      </x:c>
      <x:c r="I129" s="151" t="n">
        <x:v>1</x:v>
      </x:c>
      <x:c r="J129" s="151" t="n">
        <x:v>0</x:v>
      </x:c>
      <x:c r="K129" s="152" t="n">
        <x:f>D129*2+E129*2+F129*2+G129*2+H129+I129+J129</x:f>
        <x:v>4</x:v>
      </x:c>
      <x:c r="L129" s="153" t="str">
        <x:f>IF(K129&gt;=6,"高介绍",IF(K129&gt;=3,"中介绍",IF(K129&gt;=1,"低介绍","未介绍")))</x:f>
        <x:v>中介绍</x:v>
      </x:c>
      <x:c r="M129" s="150" t="str">
        <x:v>Bullet 1–2: ted as you recline while gaming, working, or relaxing Spring Cushion Seat – No More Flat, Hard Seats: Unlike chairs that go flat after a few weeks, the Spring Cushion Seat with high-density foam  | 后部副图: 商品副图视觉/文案明确命中 | Bullet 3–5: &amp; Adjustable Headrest – Switch from Focus to Relaxation: When it’s time to relax, recline back up to 150°. Adjust the headrest and lumbar pillow to find the perfect fit for your posture, whether </x:v>
      </x:c>
      <x:c r="N129" s="150" t="str">
        <x:v>https://www.amazon.com/dp/B0FRMQ5X9R</x:v>
      </x:c>
      <x:c r="O129" s="150" t="str">
        <x:v>已验证</x:v>
      </x:c>
    </x:row>
    <x:row r="130" ht="48" customHeight="1">
      <x:c r="A130" s="206" t="str">
        <x:v>B0FRMQ5X9R</x:v>
      </x:c>
      <x:c r="B130" s="150" t="str">
        <x:v>Streaming / Content Creation Setup</x:v>
      </x:c>
      <x:c r="C130" s="139" t="str">
        <x:v>场景</x:v>
      </x:c>
      <x:c r="D130" s="151" t="n">
        <x:v>1</x:v>
      </x:c>
      <x:c r="E130" s="151" t="n">
        <x:v>0</x:v>
      </x:c>
      <x:c r="F130" s="151" t="n">
        <x:v>0</x:v>
      </x:c>
      <x:c r="G130" s="151" t="n">
        <x:v>0</x:v>
      </x:c>
      <x:c r="H130" s="151" t="n">
        <x:v>0</x:v>
      </x:c>
      <x:c r="I130" s="151" t="n">
        <x:v>1</x:v>
      </x:c>
      <x:c r="J130" s="151" t="n">
        <x:v>0</x:v>
      </x:c>
      <x:c r="K130" s="152" t="n">
        <x:f>D130*2+E130*2+F130*2+G130*2+H130+I130+J130</x:f>
        <x:v>3</x:v>
      </x:c>
      <x:c r="L130" s="153" t="str">
        <x:f>IF(K130&gt;=6,"高介绍",IF(K130&gt;=3,"中介绍",IF(K130&gt;=1,"低介绍","未介绍")))</x:f>
        <x:v>中介绍</x:v>
      </x:c>
      <x:c r="M130" s="150" t="str">
        <x:v>Title: 30lbs with Headrest Pillow for Office, Home, Streaming and Long Gaming Sessions, Black | Bullet 3–5: it for your posture, whether you’re watching streams, working at your desk, or taking a quick break. Heavy Duty 330lbs Build – Stable, Safe, Certified: This Heavy Duty Gaming Chair supports up to</x:v>
      </x:c>
      <x:c r="N130" s="150" t="str">
        <x:v>https://www.amazon.com/dp/B0FRMQ5X9R</x:v>
      </x:c>
      <x:c r="O130" s="150" t="str">
        <x:v>已验证</x:v>
      </x:c>
    </x:row>
    <x:row r="131" ht="48" customHeight="1">
      <x:c r="A131" s="206" t="str">
        <x:v>B0FRMQ5X9R</x:v>
      </x:c>
      <x:c r="B131" s="150" t="str">
        <x:v>Study Area</x:v>
      </x:c>
      <x:c r="C131" s="139" t="str">
        <x:v>场景</x:v>
      </x:c>
      <x:c r="D131" s="151" t="n">
        <x:v>0</x:v>
      </x:c>
      <x:c r="E131" s="151" t="n">
        <x:v>0</x:v>
      </x:c>
      <x:c r="F131" s="151" t="n">
        <x:v>1</x:v>
      </x:c>
      <x:c r="G131" s="151" t="n">
        <x:v>0</x:v>
      </x:c>
      <x:c r="H131" s="151" t="n">
        <x:v>0</x:v>
      </x:c>
      <x:c r="I131" s="151" t="n">
        <x:v>0</x:v>
      </x:c>
      <x:c r="J131" s="151" t="n">
        <x:v>0</x:v>
      </x:c>
      <x:c r="K131" s="152" t="n">
        <x:f>D131*2+E131*2+F131*2+G131*2+H131+I131+J131</x:f>
        <x:v>2</x:v>
      </x:c>
      <x:c r="L131" s="153" t="str">
        <x:f>IF(K131&gt;=6,"高介绍",IF(K131&gt;=3,"中介绍",IF(K131&gt;=1,"低介绍","未介绍")))</x:f>
        <x:v>低介绍</x:v>
      </x:c>
      <x:c r="M131" s="150" t="str">
        <x:v>Bullet 1–2: gh competitive esports matches or late-night study sessions without discomfort.</x:v>
      </x:c>
      <x:c r="N131" s="150" t="str">
        <x:v>https://www.amazon.com/dp/B0FRMQ5X9R</x:v>
      </x:c>
      <x:c r="O131" s="150" t="str">
        <x:v>已验证</x:v>
      </x:c>
    </x:row>
    <x:row r="132" ht="48" customHeight="1">
      <x:c r="A132" s="206" t="str">
        <x:v>B0FRMQ5X9R</x:v>
      </x:c>
      <x:c r="B132" s="150" t="str">
        <x:v>Gaming Room / Setup</x:v>
      </x:c>
      <x:c r="C132" s="139" t="str">
        <x:v>场景</x:v>
      </x:c>
      <x:c r="D132" s="151" t="n">
        <x:v>0</x:v>
      </x:c>
      <x:c r="E132" s="151" t="n">
        <x:v>0</x:v>
      </x:c>
      <x:c r="F132" s="151" t="n">
        <x:v>0</x:v>
      </x:c>
      <x:c r="G132" s="151" t="n">
        <x:v>0</x:v>
      </x:c>
      <x:c r="H132" s="151" t="n">
        <x:v>0</x:v>
      </x:c>
      <x:c r="I132" s="151" t="n">
        <x:v>1</x:v>
      </x:c>
      <x:c r="J132" s="151" t="n">
        <x:v>0</x:v>
      </x:c>
      <x:c r="K132" s="152" t="n">
        <x:f>D132*2+E132*2+F132*2+G132*2+H132+I132+J132</x:f>
        <x:v>1</x:v>
      </x:c>
      <x:c r="L132" s="153" t="str">
        <x:f>IF(K132&gt;=6,"高介绍",IF(K132&gt;=3,"中介绍",IF(K132&gt;=1,"低介绍","未介绍")))</x:f>
        <x:v>低介绍</x:v>
      </x:c>
      <x:c r="M132" s="150" t="str">
        <x:v>Bullet 3–5:  no squeaks—just reliable stability for your gaming setup or home office. Massage Lumbar Support –Stay Comfortable in Long Gaming or Work Sessions: Lower back pain is the #1 complaint from gamers</x:v>
      </x:c>
      <x:c r="N132" s="150" t="str">
        <x:v>https://www.amazon.com/dp/B0FRMQ5X9R</x:v>
      </x:c>
      <x:c r="O132" s="150" t="str">
        <x:v>已验证</x:v>
      </x:c>
    </x:row>
    <x:row r="133" ht="48" customHeight="1">
      <x:c r="A133" s="206" t="str">
        <x:v>B0FRMQ5X9R</x:v>
      </x:c>
      <x:c r="B133" s="150" t="str">
        <x:v>Home Office</x:v>
      </x:c>
      <x:c r="C133" s="139" t="str">
        <x:v>场景</x:v>
      </x:c>
      <x:c r="D133" s="151" t="n">
        <x:v>0</x:v>
      </x:c>
      <x:c r="E133" s="151" t="n">
        <x:v>0</x:v>
      </x:c>
      <x:c r="F133" s="151" t="n">
        <x:v>0</x:v>
      </x:c>
      <x:c r="G133" s="151" t="n">
        <x:v>0</x:v>
      </x:c>
      <x:c r="H133" s="151" t="n">
        <x:v>0</x:v>
      </x:c>
      <x:c r="I133" s="151" t="n">
        <x:v>1</x:v>
      </x:c>
      <x:c r="J133" s="151" t="n">
        <x:v>0</x:v>
      </x:c>
      <x:c r="K133" s="152" t="n">
        <x:f>D133*2+E133*2+F133*2+G133*2+H133+I133+J133</x:f>
        <x:v>1</x:v>
      </x:c>
      <x:c r="L133" s="153" t="str">
        <x:f>IF(K133&gt;=6,"高介绍",IF(K133&gt;=3,"中介绍",IF(K133&gt;=1,"低介绍","未介绍")))</x:f>
        <x:v>低介绍</x:v>
      </x:c>
      <x:c r="M133" s="150" t="str">
        <x:v>Bullet 3–5:  reliable stability for your gaming setup or home office. Massage Lumbar Support –Stay Comfortable in Long Gaming or Work Sessions: Lower back pain is the #1 complaint from gamers and office work</x:v>
      </x:c>
      <x:c r="N133" s="150" t="str">
        <x:v>https://www.amazon.com/dp/B0FRMQ5X9R</x:v>
      </x:c>
      <x:c r="O133" s="150" t="str">
        <x:v>已验证</x:v>
      </x:c>
    </x:row>
    <x:row r="134" ht="48" customHeight="1">
      <x:c r="A134" s="206" t="str">
        <x:v>B0FRMQ5X9R</x:v>
      </x:c>
      <x:c r="B134" s="150" t="str">
        <x:v>Gaming</x:v>
      </x:c>
      <x:c r="C134" s="142" t="str">
        <x:v>用途</x:v>
      </x:c>
      <x:c r="D134" s="151" t="n">
        <x:v>1</x:v>
      </x:c>
      <x:c r="E134" s="151" t="n">
        <x:v>0</x:v>
      </x:c>
      <x:c r="F134" s="151" t="n">
        <x:v>1</x:v>
      </x:c>
      <x:c r="G134" s="151" t="n">
        <x:v>1</x:v>
      </x:c>
      <x:c r="H134" s="151" t="n">
        <x:v>0</x:v>
      </x:c>
      <x:c r="I134" s="151" t="n">
        <x:v>1</x:v>
      </x:c>
      <x:c r="J134" s="151" t="n">
        <x:v>1</x:v>
      </x:c>
      <x:c r="K134" s="152" t="n">
        <x:f>D134*2+E134*2+F134*2+G134*2+H134+I134+J134</x:f>
        <x:v>8</x:v>
      </x:c>
      <x:c r="L134" s="153" t="str">
        <x:f>IF(K134&gt;=6,"高介绍",IF(K134&gt;=3,"中介绍",IF(K134&gt;=1,"低介绍","未介绍")))</x:f>
        <x:v>高介绍</x:v>
      </x:c>
      <x:c r="M134" s="150" t="str">
        <x:v>Title: Dowinx Ergonomic Gaming Chair with Footrest &amp; Massage Lumbar, 2D-Linkage Armrests for Computer Chair 330lbs with Headrest Pillow for Office, Home, Streaming and Long G | Bullet 1–2: eep your arms supported as you recline while gaming, working, or relaxing Spring Cushion Seat – No More Flat, Hard Seats: Unlike chairs that go flat after a few weeks, the Spring Cushion Seat wit | A+核心: gaming chair | Bullet 3–5: d – Stable, Safe, Certified: This Heavy Duty Gaming Chair supports up to 330lbs, built with an aluminum five-star base, SGS-certified gas lift, and smooth rolling casters. No wobbling, no squeaks | A+其他: gaming chair | gaming chair | gaming chair | gaming chair | More Choices for You Dowinx 6658 Gaming Chair Buying Options Dowinx 6657D Gaming Chair Buy</x:v>
      </x:c>
      <x:c r="N134" s="150" t="str">
        <x:v>https://www.amazon.com/dp/B0FRMQ5X9R</x:v>
      </x:c>
      <x:c r="O134" s="150" t="str">
        <x:v>已验证</x:v>
      </x:c>
    </x:row>
    <x:row r="135" ht="48" customHeight="1">
      <x:c r="A135" s="206" t="str">
        <x:v>B0FRMQ5X9R</x:v>
      </x:c>
      <x:c r="B135" s="150" t="str">
        <x:v>Work</x:v>
      </x:c>
      <x:c r="C135" s="142" t="str">
        <x:v>用途</x:v>
      </x:c>
      <x:c r="D135" s="151" t="n">
        <x:v>1</x:v>
      </x:c>
      <x:c r="E135" s="151" t="n">
        <x:v>1</x:v>
      </x:c>
      <x:c r="F135" s="151" t="n">
        <x:v>1</x:v>
      </x:c>
      <x:c r="G135" s="151" t="n">
        <x:v>0</x:v>
      </x:c>
      <x:c r="H135" s="151" t="n">
        <x:v>1</x:v>
      </x:c>
      <x:c r="I135" s="151" t="n">
        <x:v>1</x:v>
      </x:c>
      <x:c r="J135" s="151" t="n">
        <x:v>0</x:v>
      </x:c>
      <x:c r="K135" s="152" t="n">
        <x:f>D135*2+E135*2+F135*2+G135*2+H135+I135+J135</x:f>
        <x:v>8</x:v>
      </x:c>
      <x:c r="L135" s="153" t="str">
        <x:f>IF(K135&gt;=6,"高介绍",IF(K135&gt;=3,"中介绍",IF(K135&gt;=1,"低介绍","未介绍")))</x:f>
        <x:v>高介绍</x:v>
      </x:c>
      <x:c r="M135" s="150" t="str">
        <x:v>Title: mputer Chair 330lbs with Headrest Pillow for Office, Home, Streaming and Long Gaming Sessions, Black | Image 2–4: 商品副图视觉/文案明确命中 | Bullet 1–2: ust vertically to better match your body and desk height. This helps your elbows rest naturally and reduces shoulder and arm fatigue, especially for taller users who often find standard armrests  | 后部副图: 商品副图视觉/文案明确命中 | Bullet 3–5: ur posture, whether you’re watching streams, working at your desk, or taking a quick break. Heavy Duty 330lbs Build – Stable, Safe, Certified: This Heavy Duty Gaming Chair supports up to 330lbs, </x:v>
      </x:c>
      <x:c r="N135" s="150" t="str">
        <x:v>https://www.amazon.com/dp/B0FRMQ5X9R</x:v>
      </x:c>
      <x:c r="O135" s="150" t="str">
        <x:v>已验证</x:v>
      </x:c>
    </x:row>
    <x:row r="136" ht="48" customHeight="1">
      <x:c r="A136" s="206" t="str">
        <x:v>B0FRMQ5X9R</x:v>
      </x:c>
      <x:c r="B136" s="150" t="str">
        <x:v>Relaxing</x:v>
      </x:c>
      <x:c r="C136" s="142" t="str">
        <x:v>用途</x:v>
      </x:c>
      <x:c r="D136" s="151" t="n">
        <x:v>1</x:v>
      </x:c>
      <x:c r="E136" s="151" t="n">
        <x:v>0</x:v>
      </x:c>
      <x:c r="F136" s="151" t="n">
        <x:v>1</x:v>
      </x:c>
      <x:c r="G136" s="151" t="n">
        <x:v>0</x:v>
      </x:c>
      <x:c r="H136" s="151" t="n">
        <x:v>1</x:v>
      </x:c>
      <x:c r="I136" s="151" t="n">
        <x:v>1</x:v>
      </x:c>
      <x:c r="J136" s="151" t="n">
        <x:v>1</x:v>
      </x:c>
      <x:c r="K136" s="152" t="n">
        <x:f>D136*2+E136*2+F136*2+G136*2+H136+I136+J136</x:f>
        <x:v>7</x:v>
      </x:c>
      <x:c r="L136" s="153" t="str">
        <x:f>IF(K136&gt;=6,"高介绍",IF(K136&gt;=3,"中介绍",IF(K136&gt;=1,"低介绍","未介绍")))</x:f>
        <x:v>高介绍</x:v>
      </x:c>
      <x:c r="M136" s="150" t="str">
        <x:v>Title: Dowinx Ergonomic Gaming Chair with Footrest &amp; Massage Lumbar, 2D-Linkage Armrests for Computer Chair 330lbs with Headrest Pillow for Office, Home, Streaming and Long Gaming Sessions, Black | Bullet 1–2: Upgraded Height-Adjustable 2D Linkage Armrests: Unlike traditional fixed-height linkage armrests, these armrests adjust vertically to better match your body and desk height. This helps your e | 后部副图: 商品副图视觉/文案明确命中 | Bullet 3–5: 150° Recline &amp; Adjustable Headrest – Switch from Focus to Relaxation: When it’s time to relax, recline back up to 150°. Adjust the headrest and lumbar pillow to find the perfect fi | A+其他: 350LBS 350LBS 290LBS 400LBS 440LBS 400LBS Armrest Type Linkage Armrest Linkage Armrest Linkage Armrest Linkage Armrest Linkage Armrest Linkage Armrest Linkage Armrest Surface Material Fabric Fabr</x:v>
      </x:c>
      <x:c r="N136" s="150" t="str">
        <x:v>https://www.amazon.com/dp/B0FRMQ5X9R</x:v>
      </x:c>
      <x:c r="O136" s="150" t="str">
        <x:v>已验证</x:v>
      </x:c>
    </x:row>
    <x:row r="137" ht="48" customHeight="1">
      <x:c r="A137" s="206" t="str">
        <x:v>B0FRMQ5X9R</x:v>
      </x:c>
      <x:c r="B137" s="150" t="str">
        <x:v>Computer Use</x:v>
      </x:c>
      <x:c r="C137" s="142" t="str">
        <x:v>用途</x:v>
      </x:c>
      <x:c r="D137" s="151" t="n">
        <x:v>1</x:v>
      </x:c>
      <x:c r="E137" s="151" t="n">
        <x:v>0</x:v>
      </x:c>
      <x:c r="F137" s="151" t="n">
        <x:v>0</x:v>
      </x:c>
      <x:c r="G137" s="151" t="n">
        <x:v>0</x:v>
      </x:c>
      <x:c r="H137" s="151" t="n">
        <x:v>1</x:v>
      </x:c>
      <x:c r="I137" s="151" t="n">
        <x:v>0</x:v>
      </x:c>
      <x:c r="J137" s="151" t="n">
        <x:v>0</x:v>
      </x:c>
      <x:c r="K137" s="152" t="n">
        <x:f>D137*2+E137*2+F137*2+G137*2+H137+I137+J137</x:f>
        <x:v>3</x:v>
      </x:c>
      <x:c r="L137" s="153" t="str">
        <x:f>IF(K137&gt;=6,"高介绍",IF(K137&gt;=3,"中介绍",IF(K137&gt;=1,"低介绍","未介绍")))</x:f>
        <x:v>中介绍</x:v>
      </x:c>
      <x:c r="M137" s="150" t="str">
        <x:v>Title: st &amp; Massage Lumbar, 2D-Linkage Armrests for Computer Chair 330lbs with Headrest Pillow for Office, Home, Streaming and Long Gaming Sessions, Black | 后部副图: 商品副图视觉/文案明确命中</x:v>
      </x:c>
      <x:c r="N137" s="150" t="str">
        <x:v>https://www.amazon.com/dp/B0FRMQ5X9R</x:v>
      </x:c>
      <x:c r="O137" s="150" t="str">
        <x:v>已验证</x:v>
      </x:c>
    </x:row>
    <x:row r="138" ht="48" customHeight="1">
      <x:c r="A138" s="206" t="str">
        <x:v>B0FRMQ5X9R</x:v>
      </x:c>
      <x:c r="B138" s="150" t="str">
        <x:v>Streaming / Content Creation</x:v>
      </x:c>
      <x:c r="C138" s="142" t="str">
        <x:v>用途</x:v>
      </x:c>
      <x:c r="D138" s="151" t="n">
        <x:v>1</x:v>
      </x:c>
      <x:c r="E138" s="151" t="n">
        <x:v>0</x:v>
      </x:c>
      <x:c r="F138" s="151" t="n">
        <x:v>0</x:v>
      </x:c>
      <x:c r="G138" s="151" t="n">
        <x:v>0</x:v>
      </x:c>
      <x:c r="H138" s="151" t="n">
        <x:v>0</x:v>
      </x:c>
      <x:c r="I138" s="151" t="n">
        <x:v>1</x:v>
      </x:c>
      <x:c r="J138" s="151" t="n">
        <x:v>0</x:v>
      </x:c>
      <x:c r="K138" s="152" t="n">
        <x:f>D138*2+E138*2+F138*2+G138*2+H138+I138+J138</x:f>
        <x:v>3</x:v>
      </x:c>
      <x:c r="L138" s="153" t="str">
        <x:f>IF(K138&gt;=6,"高介绍",IF(K138&gt;=3,"中介绍",IF(K138&gt;=1,"低介绍","未介绍")))</x:f>
        <x:v>中介绍</x:v>
      </x:c>
      <x:c r="M138" s="150" t="str">
        <x:v>Title: 30lbs with Headrest Pillow for Office, Home, Streaming and Long Gaming Sessions, Black | Bullet 3–5: it for your posture, whether you’re watching streams, working at your desk, or taking a quick break. Heavy Duty 330lbs Build – Stable, Safe, Certified: This Heavy Duty Gaming Chair supports up to</x:v>
      </x:c>
      <x:c r="N138" s="150" t="str">
        <x:v>https://www.amazon.com/dp/B0FRMQ5X9R</x:v>
      </x:c>
      <x:c r="O138" s="150" t="str">
        <x:v>已验证</x:v>
      </x:c>
    </x:row>
    <x:row r="139" ht="48" customHeight="1">
      <x:c r="A139" s="206" t="str">
        <x:v>B0FRMQ5X9R</x:v>
      </x:c>
      <x:c r="B139" s="150" t="str">
        <x:v>Reading</x:v>
      </x:c>
      <x:c r="C139" s="142" t="str">
        <x:v>用途</x:v>
      </x:c>
      <x:c r="D139" s="151" t="n">
        <x:v>0</x:v>
      </x:c>
      <x:c r="E139" s="151" t="n">
        <x:v>0</x:v>
      </x:c>
      <x:c r="F139" s="151" t="n">
        <x:v>0</x:v>
      </x:c>
      <x:c r="G139" s="151" t="n">
        <x:v>0</x:v>
      </x:c>
      <x:c r="H139" s="151" t="n">
        <x:v>0</x:v>
      </x:c>
      <x:c r="I139" s="151" t="n">
        <x:v>0</x:v>
      </x:c>
      <x:c r="J139" s="151" t="n">
        <x:v>0</x:v>
      </x:c>
      <x:c r="K139" s="152" t="n">
        <x:f>D139*2+E139*2+F139*2+G139*2+H139+I139+J139</x:f>
        <x:v>0</x:v>
      </x:c>
      <x:c r="L139" s="153" t="str">
        <x:f>IF(K139&gt;=6,"高介绍",IF(K139&gt;=3,"中介绍",IF(K139&gt;=1,"低介绍","未介绍")))</x:f>
        <x:v>未介绍</x:v>
      </x:c>
      <x:c r="M139" s="150" t="str">
        <x:v>Listing 已核验，未发现该标签的明确资源位表达</x:v>
      </x:c>
      <x:c r="N139" s="150" t="str">
        <x:v>https://www.amazon.com/dp/B0FRMQ5X9R</x:v>
      </x:c>
      <x:c r="O139" s="150" t="str">
        <x:v>已验证</x:v>
      </x:c>
    </x:row>
    <x:row r="140" ht="48" customHeight="1">
      <x:c r="A140" s="203" t="str">
        <x:v>B0H3ZBMLT1</x:v>
      </x:c>
      <x:c r="B140" s="123" t="str">
        <x:v>Big &amp; Tall Users</x:v>
      </x:c>
      <x:c r="C140" s="129" t="str">
        <x:v>人群</x:v>
      </x:c>
      <x:c r="D140" s="124" t="n">
        <x:v>1</x:v>
      </x:c>
      <x:c r="E140" s="124" t="n">
        <x:v>1</x:v>
      </x:c>
      <x:c r="F140" s="124" t="n">
        <x:v>1</x:v>
      </x:c>
      <x:c r="G140" s="124" t="n">
        <x:v>0</x:v>
      </x:c>
      <x:c r="H140" s="124" t="n">
        <x:v>1</x:v>
      </x:c>
      <x:c r="I140" s="124" t="n">
        <x:v>0</x:v>
      </x:c>
      <x:c r="J140" s="124" t="n">
        <x:v>1</x:v>
      </x:c>
      <x:c r="K140" s="125" t="n">
        <x:f>D140*2+E140*2+F140*2+G140*2+H140+I140+J140</x:f>
        <x:v>8</x:v>
      </x:c>
      <x:c r="L140" s="126" t="str">
        <x:f>IF(K140&gt;=6,"高介绍",IF(K140&gt;=3,"中介绍",IF(K140&gt;=1,"低介绍","未介绍")))</x:f>
        <x:v>高介绍</x:v>
      </x:c>
      <x:c r="M140" s="123" t="str">
        <x:v>Title: Dowinx Big and Tall Gaming Chair for Adults with Footrest, Massage Lumbar | Image 2–4: 商品副图视觉/文案明确命中 | Bullet 1–2: pe through years of daily marathon sessions. Big &amp; Tall Wipe-Clean PU Leather Seat: A wide, wingless PU leather seat gives heavy people and adults of all sizes room to cross your legs, shift post | 后部副图: 商品副图视觉/文案明确命中 | A+其他: 145° Footrest ✔ ✔ ✔ ✔ Max Load 350LBS 350LBS 500LBS 350LBS</x:v>
      </x:c>
      <x:c r="N140" s="123" t="str">
        <x:v>https://www.amazon.com/dp/B0H3ZBMLT1</x:v>
      </x:c>
      <x:c r="O140" s="123" t="str">
        <x:v>已验证</x:v>
      </x:c>
    </x:row>
    <x:row r="141" ht="48" customHeight="1">
      <x:c r="A141" s="204" t="str">
        <x:v>B0H3ZBMLT1</x:v>
      </x:c>
      <x:c r="B141" s="130" t="str">
        <x:v>Gamers</x:v>
      </x:c>
      <x:c r="C141" s="136" t="str">
        <x:v>人群</x:v>
      </x:c>
      <x:c r="D141" s="131" t="n">
        <x:v>1</x:v>
      </x:c>
      <x:c r="E141" s="131" t="n">
        <x:v>0</x:v>
      </x:c>
      <x:c r="F141" s="131" t="n">
        <x:v>1</x:v>
      </x:c>
      <x:c r="G141" s="131" t="n">
        <x:v>1</x:v>
      </x:c>
      <x:c r="H141" s="131" t="n">
        <x:v>0</x:v>
      </x:c>
      <x:c r="I141" s="131" t="n">
        <x:v>1</x:v>
      </x:c>
      <x:c r="J141" s="131" t="n">
        <x:v>1</x:v>
      </x:c>
      <x:c r="K141" s="132" t="n">
        <x:f>D141*2+E141*2+F141*2+G141*2+H141+I141+J141</x:f>
        <x:v>8</x:v>
      </x:c>
      <x:c r="L141" s="133" t="str">
        <x:f>IF(K141&gt;=6,"高介绍",IF(K141&gt;=3,"中介绍",IF(K141&gt;=1,"低介绍","未介绍")))</x:f>
        <x:v>高介绍</x:v>
      </x:c>
      <x:c r="M141" s="130" t="str">
        <x:v>Title: Dowinx Big and Tall Gaming Chair for Adults with Footrest, Massage Lumbar | Bullet 1–2: Sofa-Soft Pocket Spring Cushion: This gaming chair uses a pocket spring cushion that feels like a real sofa, flexing with your body for targeted support and holding its shape through years | A+核心: gaming chair | Bullet 3–5: ble footrest to nap or relax; this reclining gaming chair has a 4-grade gas lift and heavy-duty metal frame that keep every angle stable and safe. Hassle-Free Aftercare Guaranteed: Your satisfact | A+其他: gaming chair | gaming chair | gaming chair | Previous page Next page | gaming chair | gaming chair | Previous page Next page | Dowinx Gaming Chair Col</x:v>
      </x:c>
      <x:c r="N141" s="130" t="str">
        <x:v>https://www.amazon.com/dp/B0H3ZBMLT1</x:v>
      </x:c>
      <x:c r="O141" s="130" t="str">
        <x:v>已验证</x:v>
      </x:c>
    </x:row>
    <x:row r="142" ht="48" customHeight="1">
      <x:c r="A142" s="204" t="str">
        <x:v>B0H3ZBMLT1</x:v>
      </x:c>
      <x:c r="B142" s="130" t="str">
        <x:v>Back Support Seekers</x:v>
      </x:c>
      <x:c r="C142" s="136" t="str">
        <x:v>人群</x:v>
      </x:c>
      <x:c r="D142" s="131" t="n">
        <x:v>1</x:v>
      </x:c>
      <x:c r="E142" s="131" t="n">
        <x:v>0</x:v>
      </x:c>
      <x:c r="F142" s="131" t="n">
        <x:v>1</x:v>
      </x:c>
      <x:c r="G142" s="131" t="n">
        <x:v>0</x:v>
      </x:c>
      <x:c r="H142" s="131" t="n">
        <x:v>1</x:v>
      </x:c>
      <x:c r="I142" s="131" t="n">
        <x:v>1</x:v>
      </x:c>
      <x:c r="J142" s="131" t="n">
        <x:v>1</x:v>
      </x:c>
      <x:c r="K142" s="132" t="n">
        <x:f>D142*2+E142*2+F142*2+G142*2+H142+I142+J142</x:f>
        <x:v>7</x:v>
      </x:c>
      <x:c r="L142" s="133" t="str">
        <x:f>IF(K142&gt;=6,"高介绍",IF(K142&gt;=3,"中介绍",IF(K142&gt;=1,"低介绍","未介绍")))</x:f>
        <x:v>高介绍</x:v>
      </x:c>
      <x:c r="M142" s="130" t="str">
        <x:v>Title: ming Chair for Adults with Footrest, Massage Lumbar | Bullet 1–2:  of all sizes room to cross your legs, shift posture or fully stretch out, and the skin-friendly leather wipes clean in seconds after spills. Big and tall built. | 后部副图: 商品副图视觉/文案明确命中 | Bullet 3–5: Massage Lumbar + Oversized Headrest: Built-in massage lumbar support and an oversized headrest cradle your lower back, neck and head, while a handy back stora | A+其他: table Adjustable Adjustable Massage Headrest Lumbar Support Dual-Point Massage Dual-Point Massage Dual-Point Massage Dual-Point Massage Recling 90-135° 90-135° 90-135° 90-145° Footrest ✔ ✔ ✔ ✔ Ma</x:v>
      </x:c>
      <x:c r="N142" s="130" t="str">
        <x:v>https://www.amazon.com/dp/B0H3ZBMLT1</x:v>
      </x:c>
      <x:c r="O142" s="130" t="str">
        <x:v>已验证</x:v>
      </x:c>
    </x:row>
    <x:row r="143" ht="48" customHeight="1">
      <x:c r="A143" s="204" t="str">
        <x:v>B0H3ZBMLT1</x:v>
      </x:c>
      <x:c r="B143" s="130" t="str">
        <x:v>Relaxation Seekers</x:v>
      </x:c>
      <x:c r="C143" s="136" t="str">
        <x:v>人群</x:v>
      </x:c>
      <x:c r="D143" s="131" t="n">
        <x:v>1</x:v>
      </x:c>
      <x:c r="E143" s="131" t="n">
        <x:v>0</x:v>
      </x:c>
      <x:c r="F143" s="131" t="n">
        <x:v>0</x:v>
      </x:c>
      <x:c r="G143" s="131" t="n">
        <x:v>0</x:v>
      </x:c>
      <x:c r="H143" s="131" t="n">
        <x:v>0</x:v>
      </x:c>
      <x:c r="I143" s="131" t="n">
        <x:v>1</x:v>
      </x:c>
      <x:c r="J143" s="131" t="n">
        <x:v>1</x:v>
      </x:c>
      <x:c r="K143" s="132" t="n">
        <x:f>D143*2+E143*2+F143*2+G143*2+H143+I143+J143</x:f>
        <x:v>4</x:v>
      </x:c>
      <x:c r="L143" s="133" t="str">
        <x:f>IF(K143&gt;=6,"高介绍",IF(K143&gt;=3,"中介绍",IF(K143&gt;=1,"低介绍","未介绍")))</x:f>
        <x:v>中介绍</x:v>
      </x:c>
      <x:c r="M143" s="130" t="str">
        <x:v>Title: ig and Tall Gaming Chair for Adults with Footrest, Massage Lumbar | Bullet 3–5: Massage Lumbar + Oversized Headrest: Built-in massage lumbar support and an oversized headrest cradle your lower back, neck and head, while a handy back storage pouch keeps controll | A+其他: t of 5 stars 33 — 4.4 out of 5 stars 135 Headrest Adjustable Adjustable Adjustable Massage Headrest Lumbar Support Dual-Point Massage Dual-Point Massage Dual-Point Massage Dual-Point Massage Recl</x:v>
      </x:c>
      <x:c r="N143" s="130" t="str">
        <x:v>https://www.amazon.com/dp/B0H3ZBMLT1</x:v>
      </x:c>
      <x:c r="O143" s="130" t="str">
        <x:v>已验证</x:v>
      </x:c>
    </x:row>
    <x:row r="144" ht="48" customHeight="1">
      <x:c r="A144" s="204" t="str">
        <x:v>B0H3ZBMLT1</x:v>
      </x:c>
      <x:c r="B144" s="130" t="str">
        <x:v>Office Workers</x:v>
      </x:c>
      <x:c r="C144" s="136" t="str">
        <x:v>人群</x:v>
      </x:c>
      <x:c r="D144" s="131" t="n">
        <x:v>0</x:v>
      </x:c>
      <x:c r="E144" s="131" t="n">
        <x:v>0</x:v>
      </x:c>
      <x:c r="F144" s="131" t="n">
        <x:v>0</x:v>
      </x:c>
      <x:c r="G144" s="131" t="n">
        <x:v>0</x:v>
      </x:c>
      <x:c r="H144" s="131" t="n">
        <x:v>0</x:v>
      </x:c>
      <x:c r="I144" s="131" t="n">
        <x:v>0</x:v>
      </x:c>
      <x:c r="J144" s="131" t="n">
        <x:v>0</x:v>
      </x:c>
      <x:c r="K144" s="132" t="n">
        <x:f>D144*2+E144*2+F144*2+G144*2+H144+I144+J144</x:f>
        <x:v>0</x:v>
      </x:c>
      <x:c r="L144" s="133" t="str">
        <x:f>IF(K144&gt;=6,"高介绍",IF(K144&gt;=3,"中介绍",IF(K144&gt;=1,"低介绍","未介绍")))</x:f>
        <x:v>未介绍</x:v>
      </x:c>
      <x:c r="M144" s="130" t="str">
        <x:v>Listing 已核验，未发现该标签的明确资源位表达</x:v>
      </x:c>
      <x:c r="N144" s="130" t="str">
        <x:v>https://www.amazon.com/dp/B0H3ZBMLT1</x:v>
      </x:c>
      <x:c r="O144" s="130" t="str">
        <x:v>已验证</x:v>
      </x:c>
    </x:row>
    <x:row r="145" ht="48" customHeight="1">
      <x:c r="A145" s="204" t="str">
        <x:v>B0H3ZBMLT1</x:v>
      </x:c>
      <x:c r="B145" s="130" t="str">
        <x:v>Remote Workers</x:v>
      </x:c>
      <x:c r="C145" s="136" t="str">
        <x:v>人群</x:v>
      </x:c>
      <x:c r="D145" s="131" t="n">
        <x:v>0</x:v>
      </x:c>
      <x:c r="E145" s="131" t="n">
        <x:v>0</x:v>
      </x:c>
      <x:c r="F145" s="131" t="n">
        <x:v>0</x:v>
      </x:c>
      <x:c r="G145" s="131" t="n">
        <x:v>0</x:v>
      </x:c>
      <x:c r="H145" s="131" t="n">
        <x:v>0</x:v>
      </x:c>
      <x:c r="I145" s="131" t="n">
        <x:v>0</x:v>
      </x:c>
      <x:c r="J145" s="131" t="n">
        <x:v>0</x:v>
      </x:c>
      <x:c r="K145" s="132" t="n">
        <x:f>D145*2+E145*2+F145*2+G145*2+H145+I145+J145</x:f>
        <x:v>0</x:v>
      </x:c>
      <x:c r="L145" s="133" t="str">
        <x:f>IF(K145&gt;=6,"高介绍",IF(K145&gt;=3,"中介绍",IF(K145&gt;=1,"低介绍","未介绍")))</x:f>
        <x:v>未介绍</x:v>
      </x:c>
      <x:c r="M145" s="130" t="str">
        <x:v>Listing 已核验，未发现该标签的明确资源位表达</x:v>
      </x:c>
      <x:c r="N145" s="130" t="str">
        <x:v>https://www.amazon.com/dp/B0H3ZBMLT1</x:v>
      </x:c>
      <x:c r="O145" s="130" t="str">
        <x:v>已验证</x:v>
      </x:c>
    </x:row>
    <x:row r="146" ht="48" customHeight="1">
      <x:c r="A146" s="204" t="str">
        <x:v>B0H3ZBMLT1</x:v>
      </x:c>
      <x:c r="B146" s="130" t="str">
        <x:v>Office / Workspace</x:v>
      </x:c>
      <x:c r="C146" s="139" t="str">
        <x:v>场景</x:v>
      </x:c>
      <x:c r="D146" s="131" t="n">
        <x:v>0</x:v>
      </x:c>
      <x:c r="E146" s="131" t="n">
        <x:v>1</x:v>
      </x:c>
      <x:c r="F146" s="131" t="n">
        <x:v>0</x:v>
      </x:c>
      <x:c r="G146" s="131" t="n">
        <x:v>0</x:v>
      </x:c>
      <x:c r="H146" s="131" t="n">
        <x:v>1</x:v>
      </x:c>
      <x:c r="I146" s="131" t="n">
        <x:v>0</x:v>
      </x:c>
      <x:c r="J146" s="131" t="n">
        <x:v>0</x:v>
      </x:c>
      <x:c r="K146" s="132" t="n">
        <x:f>D146*2+E146*2+F146*2+G146*2+H146+I146+J146</x:f>
        <x:v>3</x:v>
      </x:c>
      <x:c r="L146" s="133" t="str">
        <x:f>IF(K146&gt;=6,"高介绍",IF(K146&gt;=3,"中介绍",IF(K146&gt;=1,"低介绍","未介绍")))</x:f>
        <x:v>中介绍</x:v>
      </x:c>
      <x:c r="M146" s="130" t="str">
        <x:v>Image 2–4: 商品副图视觉/文案明确命中 | 后部副图: 商品副图视觉/文案明确命中</x:v>
      </x:c>
      <x:c r="N146" s="130" t="str">
        <x:v>https://www.amazon.com/dp/B0H3ZBMLT1</x:v>
      </x:c>
      <x:c r="O146" s="130" t="str">
        <x:v>已验证</x:v>
      </x:c>
    </x:row>
    <x:row r="147" ht="48" customHeight="1">
      <x:c r="A147" s="204" t="str">
        <x:v>B0H3ZBMLT1</x:v>
      </x:c>
      <x:c r="B147" s="130" t="str">
        <x:v>Entertainment / Leisure Space</x:v>
      </x:c>
      <x:c r="C147" s="139" t="str">
        <x:v>场景</x:v>
      </x:c>
      <x:c r="D147" s="131" t="n">
        <x:v>0</x:v>
      </x:c>
      <x:c r="E147" s="131" t="n">
        <x:v>0</x:v>
      </x:c>
      <x:c r="F147" s="131" t="n">
        <x:v>0</x:v>
      </x:c>
      <x:c r="G147" s="131" t="n">
        <x:v>0</x:v>
      </x:c>
      <x:c r="H147" s="131" t="n">
        <x:v>0</x:v>
      </x:c>
      <x:c r="I147" s="131" t="n">
        <x:v>1</x:v>
      </x:c>
      <x:c r="J147" s="131" t="n">
        <x:v>0</x:v>
      </x:c>
      <x:c r="K147" s="132" t="n">
        <x:f>D147*2+E147*2+F147*2+G147*2+H147+I147+J147</x:f>
        <x:v>1</x:v>
      </x:c>
      <x:c r="L147" s="133" t="str">
        <x:f>IF(K147&gt;=6,"高介绍",IF(K147&gt;=3,"中介绍",IF(K147&gt;=1,"低介绍","未介绍")))</x:f>
        <x:v>低介绍</x:v>
      </x:c>
      <x:c r="M147" s="130" t="str">
        <x:v>Bullet 3–5: d kick up the retractable footrest to nap or relax; this reclining gaming chair has a 4-grade gas lift and heavy-duty metal frame that keep every angle stable and safe. Hassle-Free Aftercare Guar</x:v>
      </x:c>
      <x:c r="N147" s="130" t="str">
        <x:v>https://www.amazon.com/dp/B0H3ZBMLT1</x:v>
      </x:c>
      <x:c r="O147" s="130" t="str">
        <x:v>已验证</x:v>
      </x:c>
    </x:row>
    <x:row r="148" ht="48" customHeight="1">
      <x:c r="A148" s="204" t="str">
        <x:v>B0H3ZBMLT1</x:v>
      </x:c>
      <x:c r="B148" s="130" t="str">
        <x:v>Gaming Room / Setup</x:v>
      </x:c>
      <x:c r="C148" s="139" t="str">
        <x:v>场景</x:v>
      </x:c>
      <x:c r="D148" s="131" t="n">
        <x:v>0</x:v>
      </x:c>
      <x:c r="E148" s="131" t="n">
        <x:v>0</x:v>
      </x:c>
      <x:c r="F148" s="131" t="n">
        <x:v>0</x:v>
      </x:c>
      <x:c r="G148" s="131" t="n">
        <x:v>0</x:v>
      </x:c>
      <x:c r="H148" s="131" t="n">
        <x:v>1</x:v>
      </x:c>
      <x:c r="I148" s="131" t="n">
        <x:v>0</x:v>
      </x:c>
      <x:c r="J148" s="131" t="n">
        <x:v>0</x:v>
      </x:c>
      <x:c r="K148" s="132" t="n">
        <x:f>D148*2+E148*2+F148*2+G148*2+H148+I148+J148</x:f>
        <x:v>1</x:v>
      </x:c>
      <x:c r="L148" s="133" t="str">
        <x:f>IF(K148&gt;=6,"高介绍",IF(K148&gt;=3,"中介绍",IF(K148&gt;=1,"低介绍","未介绍")))</x:f>
        <x:v>低介绍</x:v>
      </x:c>
      <x:c r="M148" s="130" t="str">
        <x:v>后部副图: 商品副图视觉/文案明确命中</x:v>
      </x:c>
      <x:c r="N148" s="130" t="str">
        <x:v>https://www.amazon.com/dp/B0H3ZBMLT1</x:v>
      </x:c>
      <x:c r="O148" s="130" t="str">
        <x:v>已验证</x:v>
      </x:c>
    </x:row>
    <x:row r="149" ht="48" customHeight="1">
      <x:c r="A149" s="204" t="str">
        <x:v>B0H3ZBMLT1</x:v>
      </x:c>
      <x:c r="B149" s="130" t="str">
        <x:v>Home Office</x:v>
      </x:c>
      <x:c r="C149" s="139" t="str">
        <x:v>场景</x:v>
      </x:c>
      <x:c r="D149" s="131" t="n">
        <x:v>0</x:v>
      </x:c>
      <x:c r="E149" s="131" t="n">
        <x:v>0</x:v>
      </x:c>
      <x:c r="F149" s="131" t="n">
        <x:v>0</x:v>
      </x:c>
      <x:c r="G149" s="131" t="n">
        <x:v>0</x:v>
      </x:c>
      <x:c r="H149" s="131" t="n">
        <x:v>1</x:v>
      </x:c>
      <x:c r="I149" s="131" t="n">
        <x:v>0</x:v>
      </x:c>
      <x:c r="J149" s="131" t="n">
        <x:v>0</x:v>
      </x:c>
      <x:c r="K149" s="132" t="n">
        <x:f>D149*2+E149*2+F149*2+G149*2+H149+I149+J149</x:f>
        <x:v>1</x:v>
      </x:c>
      <x:c r="L149" s="133" t="str">
        <x:f>IF(K149&gt;=6,"高介绍",IF(K149&gt;=3,"中介绍",IF(K149&gt;=1,"低介绍","未介绍")))</x:f>
        <x:v>低介绍</x:v>
      </x:c>
      <x:c r="M149" s="130" t="str">
        <x:v>后部副图: 商品副图视觉/文案明确命中</x:v>
      </x:c>
      <x:c r="N149" s="130" t="str">
        <x:v>https://www.amazon.com/dp/B0H3ZBMLT1</x:v>
      </x:c>
      <x:c r="O149" s="130" t="str">
        <x:v>已验证</x:v>
      </x:c>
    </x:row>
    <x:row r="150" ht="48" customHeight="1">
      <x:c r="A150" s="204" t="str">
        <x:v>B0H3ZBMLT1</x:v>
      </x:c>
      <x:c r="B150" s="130" t="str">
        <x:v>Bedroom</x:v>
      </x:c>
      <x:c r="C150" s="139" t="str">
        <x:v>场景</x:v>
      </x:c>
      <x:c r="D150" s="131" t="n">
        <x:v>0</x:v>
      </x:c>
      <x:c r="E150" s="131" t="n">
        <x:v>0</x:v>
      </x:c>
      <x:c r="F150" s="131" t="n">
        <x:v>0</x:v>
      </x:c>
      <x:c r="G150" s="131" t="n">
        <x:v>0</x:v>
      </x:c>
      <x:c r="H150" s="131" t="n">
        <x:v>0</x:v>
      </x:c>
      <x:c r="I150" s="131" t="n">
        <x:v>0</x:v>
      </x:c>
      <x:c r="J150" s="131" t="n">
        <x:v>0</x:v>
      </x:c>
      <x:c r="K150" s="132" t="n">
        <x:f>D150*2+E150*2+F150*2+G150*2+H150+I150+J150</x:f>
        <x:v>0</x:v>
      </x:c>
      <x:c r="L150" s="133" t="str">
        <x:f>IF(K150&gt;=6,"高介绍",IF(K150&gt;=3,"中介绍",IF(K150&gt;=1,"低介绍","未介绍")))</x:f>
        <x:v>未介绍</x:v>
      </x:c>
      <x:c r="M150" s="130" t="str">
        <x:v>Listing 已核验，未发现该标签的明确资源位表达</x:v>
      </x:c>
      <x:c r="N150" s="130" t="str">
        <x:v>https://www.amazon.com/dp/B0H3ZBMLT1</x:v>
      </x:c>
      <x:c r="O150" s="130" t="str">
        <x:v>已验证</x:v>
      </x:c>
    </x:row>
    <x:row r="151" ht="48" customHeight="1">
      <x:c r="A151" s="204" t="str">
        <x:v>B0H3ZBMLT1</x:v>
      </x:c>
      <x:c r="B151" s="130" t="str">
        <x:v>Streaming / Content Creation Setup</x:v>
      </x:c>
      <x:c r="C151" s="139" t="str">
        <x:v>场景</x:v>
      </x:c>
      <x:c r="D151" s="131" t="n">
        <x:v>0</x:v>
      </x:c>
      <x:c r="E151" s="131" t="n">
        <x:v>0</x:v>
      </x:c>
      <x:c r="F151" s="131" t="n">
        <x:v>0</x:v>
      </x:c>
      <x:c r="G151" s="131" t="n">
        <x:v>0</x:v>
      </x:c>
      <x:c r="H151" s="131" t="n">
        <x:v>0</x:v>
      </x:c>
      <x:c r="I151" s="131" t="n">
        <x:v>0</x:v>
      </x:c>
      <x:c r="J151" s="131" t="n">
        <x:v>0</x:v>
      </x:c>
      <x:c r="K151" s="132" t="n">
        <x:f>D151*2+E151*2+F151*2+G151*2+H151+I151+J151</x:f>
        <x:v>0</x:v>
      </x:c>
      <x:c r="L151" s="133" t="str">
        <x:f>IF(K151&gt;=6,"高介绍",IF(K151&gt;=3,"中介绍",IF(K151&gt;=1,"低介绍","未介绍")))</x:f>
        <x:v>未介绍</x:v>
      </x:c>
      <x:c r="M151" s="130" t="str">
        <x:v>Listing 已核验，未发现该标签的明确资源位表达</x:v>
      </x:c>
      <x:c r="N151" s="130" t="str">
        <x:v>https://www.amazon.com/dp/B0H3ZBMLT1</x:v>
      </x:c>
      <x:c r="O151" s="130" t="str">
        <x:v>已验证</x:v>
      </x:c>
    </x:row>
    <x:row r="152" ht="48" customHeight="1">
      <x:c r="A152" s="204" t="str">
        <x:v>B0H3ZBMLT1</x:v>
      </x:c>
      <x:c r="B152" s="130" t="str">
        <x:v>Gaming</x:v>
      </x:c>
      <x:c r="C152" s="142" t="str">
        <x:v>用途</x:v>
      </x:c>
      <x:c r="D152" s="131" t="n">
        <x:v>1</x:v>
      </x:c>
      <x:c r="E152" s="131" t="n">
        <x:v>0</x:v>
      </x:c>
      <x:c r="F152" s="131" t="n">
        <x:v>1</x:v>
      </x:c>
      <x:c r="G152" s="131" t="n">
        <x:v>1</x:v>
      </x:c>
      <x:c r="H152" s="131" t="n">
        <x:v>1</x:v>
      </x:c>
      <x:c r="I152" s="131" t="n">
        <x:v>1</x:v>
      </x:c>
      <x:c r="J152" s="131" t="n">
        <x:v>1</x:v>
      </x:c>
      <x:c r="K152" s="132" t="n">
        <x:f>D152*2+E152*2+F152*2+G152*2+H152+I152+J152</x:f>
        <x:v>9</x:v>
      </x:c>
      <x:c r="L152" s="133" t="str">
        <x:f>IF(K152&gt;=6,"高介绍",IF(K152&gt;=3,"中介绍",IF(K152&gt;=1,"低介绍","未介绍")))</x:f>
        <x:v>高介绍</x:v>
      </x:c>
      <x:c r="M152" s="130" t="str">
        <x:v>Title: Dowinx Big and Tall Gaming Chair for Adults with Footrest, Massage Lumbar | Bullet 1–2: Sofa-Soft Pocket Spring Cushion: This gaming chair uses a pocket spring cushion that feels like a real sofa, flexing with your body for targeted support and holding its shape through years | A+核心: gaming chair | 后部副图: 商品副图视觉/文案明确命中 | Bullet 3–5: ble footrest to nap or relax; this reclining gaming chair has a 4-grade gas lift and heavy-duty metal frame that keep every angle stable and safe. Hassle-Free Aftercare Guaranteed: Your satisfact | A+其他: gaming chair | gaming chair | gaming chair | Previous page Next page | gaming chair | gaming chair | Previous page Next page | Dowinx Gaming Chair Col</x:v>
      </x:c>
      <x:c r="N152" s="130" t="str">
        <x:v>https://www.amazon.com/dp/B0H3ZBMLT1</x:v>
      </x:c>
      <x:c r="O152" s="130" t="str">
        <x:v>已验证</x:v>
      </x:c>
    </x:row>
    <x:row r="153" ht="48" customHeight="1">
      <x:c r="A153" s="204" t="str">
        <x:v>B0H3ZBMLT1</x:v>
      </x:c>
      <x:c r="B153" s="130" t="str">
        <x:v>Relaxing</x:v>
      </x:c>
      <x:c r="C153" s="142" t="str">
        <x:v>用途</x:v>
      </x:c>
      <x:c r="D153" s="131" t="n">
        <x:v>1</x:v>
      </x:c>
      <x:c r="E153" s="131" t="n">
        <x:v>0</x:v>
      </x:c>
      <x:c r="F153" s="131" t="n">
        <x:v>0</x:v>
      </x:c>
      <x:c r="G153" s="131" t="n">
        <x:v>0</x:v>
      </x:c>
      <x:c r="H153" s="131" t="n">
        <x:v>1</x:v>
      </x:c>
      <x:c r="I153" s="131" t="n">
        <x:v>1</x:v>
      </x:c>
      <x:c r="J153" s="131" t="n">
        <x:v>1</x:v>
      </x:c>
      <x:c r="K153" s="132" t="n">
        <x:f>D153*2+E153*2+F153*2+G153*2+H153+I153+J153</x:f>
        <x:v>5</x:v>
      </x:c>
      <x:c r="L153" s="133" t="str">
        <x:f>IF(K153&gt;=6,"高介绍",IF(K153&gt;=3,"中介绍",IF(K153&gt;=1,"低介绍","未介绍")))</x:f>
        <x:v>中介绍</x:v>
      </x:c>
      <x:c r="M153" s="130" t="str">
        <x:v>Title: ig and Tall Gaming Chair for Adults with Footrest, Massage Lumbar | 后部副图: 商品副图视觉/文案明确命中 | Bullet 3–5: Massage Lumbar + Oversized Headrest: Built-in massage lumbar support and an oversized headrest cradle your lower back, neck and head, while a handy back storage pouch keeps controll | A+其他: t of 5 stars 33 — 4.4 out of 5 stars 135 Headrest Adjustable Adjustable Adjustable Massage Headrest Lumbar Support Dual-Point Massage Dual-Point Massage Dual-Point Massage Dual-Point Massage Recl</x:v>
      </x:c>
      <x:c r="N153" s="130" t="str">
        <x:v>https://www.amazon.com/dp/B0H3ZBMLT1</x:v>
      </x:c>
      <x:c r="O153" s="130" t="str">
        <x:v>已验证</x:v>
      </x:c>
    </x:row>
    <x:row r="154" ht="48" customHeight="1">
      <x:c r="A154" s="204" t="str">
        <x:v>B0H3ZBMLT1</x:v>
      </x:c>
      <x:c r="B154" s="130" t="str">
        <x:v>Work</x:v>
      </x:c>
      <x:c r="C154" s="142" t="str">
        <x:v>用途</x:v>
      </x:c>
      <x:c r="D154" s="131" t="n">
        <x:v>0</x:v>
      </x:c>
      <x:c r="E154" s="131" t="n">
        <x:v>1</x:v>
      </x:c>
      <x:c r="F154" s="131" t="n">
        <x:v>0</x:v>
      </x:c>
      <x:c r="G154" s="131" t="n">
        <x:v>0</x:v>
      </x:c>
      <x:c r="H154" s="131" t="n">
        <x:v>1</x:v>
      </x:c>
      <x:c r="I154" s="131" t="n">
        <x:v>0</x:v>
      </x:c>
      <x:c r="J154" s="131" t="n">
        <x:v>0</x:v>
      </x:c>
      <x:c r="K154" s="132" t="n">
        <x:f>D154*2+E154*2+F154*2+G154*2+H154+I154+J154</x:f>
        <x:v>3</x:v>
      </x:c>
      <x:c r="L154" s="133" t="str">
        <x:f>IF(K154&gt;=6,"高介绍",IF(K154&gt;=3,"中介绍",IF(K154&gt;=1,"低介绍","未介绍")))</x:f>
        <x:v>中介绍</x:v>
      </x:c>
      <x:c r="M154" s="130" t="str">
        <x:v>Image 2–4: 商品副图视觉/文案明确命中 | 后部副图: 商品副图视觉/文案明确命中</x:v>
      </x:c>
      <x:c r="N154" s="130" t="str">
        <x:v>https://www.amazon.com/dp/B0H3ZBMLT1</x:v>
      </x:c>
      <x:c r="O154" s="130" t="str">
        <x:v>已验证</x:v>
      </x:c>
    </x:row>
    <x:row r="155" ht="48" customHeight="1">
      <x:c r="A155" s="204" t="str">
        <x:v>B0H3ZBMLT1</x:v>
      </x:c>
      <x:c r="B155" s="130" t="str">
        <x:v>Napping</x:v>
      </x:c>
      <x:c r="C155" s="142" t="str">
        <x:v>用途</x:v>
      </x:c>
      <x:c r="D155" s="131" t="n">
        <x:v>0</x:v>
      </x:c>
      <x:c r="E155" s="131" t="n">
        <x:v>0</x:v>
      </x:c>
      <x:c r="F155" s="131" t="n">
        <x:v>0</x:v>
      </x:c>
      <x:c r="G155" s="131" t="n">
        <x:v>0</x:v>
      </x:c>
      <x:c r="H155" s="131" t="n">
        <x:v>1</x:v>
      </x:c>
      <x:c r="I155" s="131" t="n">
        <x:v>1</x:v>
      </x:c>
      <x:c r="J155" s="131" t="n">
        <x:v>0</x:v>
      </x:c>
      <x:c r="K155" s="132" t="n">
        <x:f>D155*2+E155*2+F155*2+G155*2+H155+I155+J155</x:f>
        <x:v>2</x:v>
      </x:c>
      <x:c r="L155" s="133" t="str">
        <x:f>IF(K155&gt;=6,"高介绍",IF(K155&gt;=3,"中介绍",IF(K155&gt;=1,"低介绍","未介绍")))</x:f>
        <x:v>低介绍</x:v>
      </x:c>
      <x:c r="M155" s="130" t="str">
        <x:v>后部副图: 商品副图视觉/文案明确命中 | Bullet 3–5: 145° and kick up the retractable footrest to nap or relax; this reclining gaming chair has a 4-grade gas lift and heavy-duty metal frame that keep every angle stable and safe. Hassle-Free Afterca</x:v>
      </x:c>
      <x:c r="N155" s="130" t="str">
        <x:v>https://www.amazon.com/dp/B0H3ZBMLT1</x:v>
      </x:c>
      <x:c r="O155" s="130" t="str">
        <x:v>已验证</x:v>
      </x:c>
    </x:row>
    <x:row r="156" ht="48" customHeight="1">
      <x:c r="A156" s="204" t="str">
        <x:v>B0H3ZBMLT1</x:v>
      </x:c>
      <x:c r="B156" s="130" t="str">
        <x:v>Computer Use</x:v>
      </x:c>
      <x:c r="C156" s="142" t="str">
        <x:v>用途</x:v>
      </x:c>
      <x:c r="D156" s="131" t="n">
        <x:v>0</x:v>
      </x:c>
      <x:c r="E156" s="131" t="n">
        <x:v>0</x:v>
      </x:c>
      <x:c r="F156" s="131" t="n">
        <x:v>0</x:v>
      </x:c>
      <x:c r="G156" s="131" t="n">
        <x:v>0</x:v>
      </x:c>
      <x:c r="H156" s="131" t="n">
        <x:v>0</x:v>
      </x:c>
      <x:c r="I156" s="131" t="n">
        <x:v>0</x:v>
      </x:c>
      <x:c r="J156" s="131" t="n">
        <x:v>0</x:v>
      </x:c>
      <x:c r="K156" s="132" t="n">
        <x:f>D156*2+E156*2+F156*2+G156*2+H156+I156+J156</x:f>
        <x:v>0</x:v>
      </x:c>
      <x:c r="L156" s="133" t="str">
        <x:f>IF(K156&gt;=6,"高介绍",IF(K156&gt;=3,"中介绍",IF(K156&gt;=1,"低介绍","未介绍")))</x:f>
        <x:v>未介绍</x:v>
      </x:c>
      <x:c r="M156" s="130" t="str">
        <x:v>Listing 已核验，未发现该标签的明确资源位表达</x:v>
      </x:c>
      <x:c r="N156" s="130" t="str">
        <x:v>https://www.amazon.com/dp/B0H3ZBMLT1</x:v>
      </x:c>
      <x:c r="O156" s="130" t="str">
        <x:v>已验证</x:v>
      </x:c>
    </x:row>
    <x:row r="157" ht="48" customHeight="1">
      <x:c r="A157" s="205" t="str">
        <x:v>B0H7HKB2LN</x:v>
      </x:c>
      <x:c r="B157" s="146" t="str">
        <x:v>Big &amp; Tall Users</x:v>
      </x:c>
      <x:c r="C157" s="129" t="str">
        <x:v>人群</x:v>
      </x:c>
      <x:c r="D157" s="147" t="n">
        <x:v>1</x:v>
      </x:c>
      <x:c r="E157" s="147" t="n">
        <x:v>1</x:v>
      </x:c>
      <x:c r="F157" s="147" t="n">
        <x:v>1</x:v>
      </x:c>
      <x:c r="G157" s="147" t="n">
        <x:v>1</x:v>
      </x:c>
      <x:c r="H157" s="147" t="n">
        <x:v>0</x:v>
      </x:c>
      <x:c r="I157" s="147" t="n">
        <x:v>0</x:v>
      </x:c>
      <x:c r="J157" s="147" t="n">
        <x:v>1</x:v>
      </x:c>
      <x:c r="K157" s="148" t="n">
        <x:f>D157*2+E157*2+F157*2+G157*2+H157+I157+J157</x:f>
        <x:v>9</x:v>
      </x:c>
      <x:c r="L157" s="149" t="str">
        <x:f>IF(K157&gt;=6,"高介绍",IF(K157&gt;=3,"中介绍",IF(K157&gt;=1,"低介绍","未介绍")))</x:f>
        <x:v>高介绍</x:v>
      </x:c>
      <x:c r="M157" s="146" t="str">
        <x:v>Title: Dowinx Big and Tall Gaming Chair with Footrest for Home Office 500LBS Black | Image 2–4: 商品副图视觉/文案明确命中 | Bullet 1–2: Big and Tall Office Chair with 500 LBS Support: Made for adults who need more space than a standard gaming chair, this ergonomic gaming chair combines | A+核心: Big and Tall Gaming Chair | A+其他: Big and Tall Gaming Chair | Big and Tall Gaming Chair | Previous page Next page | Big and Tall Gaming Chair | Previous page Next page | Big and Tall G</x:v>
      </x:c>
      <x:c r="N157" s="146" t="str">
        <x:v>https://www.amazon.com/dp/B0H7HKB2LN</x:v>
      </x:c>
      <x:c r="O157" s="146" t="str">
        <x:v>已验证</x:v>
      </x:c>
    </x:row>
    <x:row r="158" ht="48" customHeight="1">
      <x:c r="A158" s="206" t="str">
        <x:v>B0H7HKB2LN</x:v>
      </x:c>
      <x:c r="B158" s="150" t="str">
        <x:v>Gamers</x:v>
      </x:c>
      <x:c r="C158" s="136" t="str">
        <x:v>人群</x:v>
      </x:c>
      <x:c r="D158" s="151" t="n">
        <x:v>1</x:v>
      </x:c>
      <x:c r="E158" s="151" t="n">
        <x:v>0</x:v>
      </x:c>
      <x:c r="F158" s="151" t="n">
        <x:v>1</x:v>
      </x:c>
      <x:c r="G158" s="151" t="n">
        <x:v>1</x:v>
      </x:c>
      <x:c r="H158" s="151" t="n">
        <x:v>0</x:v>
      </x:c>
      <x:c r="I158" s="151" t="n">
        <x:v>1</x:v>
      </x:c>
      <x:c r="J158" s="151" t="n">
        <x:v>1</x:v>
      </x:c>
      <x:c r="K158" s="152" t="n">
        <x:f>D158*2+E158*2+F158*2+G158*2+H158+I158+J158</x:f>
        <x:v>8</x:v>
      </x:c>
      <x:c r="L158" s="153" t="str">
        <x:f>IF(K158&gt;=6,"高介绍",IF(K158&gt;=3,"中介绍",IF(K158&gt;=1,"低介绍","未介绍")))</x:f>
        <x:v>高介绍</x:v>
      </x:c>
      <x:c r="M158" s="150" t="str">
        <x:v>Title: Dowinx Big and Tall Gaming Chair with Footrest for Home Office 500LBS Black | Bullet 1–2: r adults who need more space than a standard gaming chair, this ergonomic gaming chair combines a wider executive frame, enlarged backrest, and roomy seat area to help larger users sit more comfo | A+核心: Big and Tall Gaming Chair | Bullet 3–5: l-Out Footrest: Built for long sitting, this gaming chair with footrest lets you move from focused work to relaxed breaks without leaving your desk. Stay upright for computer tasks, lean back for | A+其他: Big and Tall Gaming Chair | Big and Tall Gaming Chair | Previous page Next page | Big and Tall Gaming Chair | Previous page Next page | Big and Tall Gaming Chair |</x:v>
      </x:c>
      <x:c r="N158" s="150" t="str">
        <x:v>https://www.amazon.com/dp/B0H7HKB2LN</x:v>
      </x:c>
      <x:c r="O158" s="150" t="str">
        <x:v>已验证</x:v>
      </x:c>
    </x:row>
    <x:row r="159" ht="48" customHeight="1">
      <x:c r="A159" s="206" t="str">
        <x:v>B0H7HKB2LN</x:v>
      </x:c>
      <x:c r="B159" s="150" t="str">
        <x:v>Comfort Seekers</x:v>
      </x:c>
      <x:c r="C159" s="136" t="str">
        <x:v>人群</x:v>
      </x:c>
      <x:c r="D159" s="151" t="n">
        <x:v>0</x:v>
      </x:c>
      <x:c r="E159" s="151" t="n">
        <x:v>1</x:v>
      </x:c>
      <x:c r="F159" s="151" t="n">
        <x:v>1</x:v>
      </x:c>
      <x:c r="G159" s="151" t="n">
        <x:v>0</x:v>
      </x:c>
      <x:c r="H159" s="151" t="n">
        <x:v>1</x:v>
      </x:c>
      <x:c r="I159" s="151" t="n">
        <x:v>0</x:v>
      </x:c>
      <x:c r="J159" s="151" t="n">
        <x:v>0</x:v>
      </x:c>
      <x:c r="K159" s="152" t="n">
        <x:f>D159*2+E159*2+F159*2+G159*2+H159+I159+J159</x:f>
        <x:v>5</x:v>
      </x:c>
      <x:c r="L159" s="153" t="str">
        <x:f>IF(K159&gt;=6,"高介绍",IF(K159&gt;=3,"中介绍",IF(K159&gt;=1,"低介绍","未介绍")))</x:f>
        <x:v>中介绍</x:v>
      </x:c>
      <x:c r="M159" s="150" t="str">
        <x:v>Image 2–4: 商品副图视觉/文案明确命中 | Bullet 1–2: oomy seat area to help larger users sit more comfortably through work, PC gaming, reading, or long home office sessions. Thick Dual-Layer Foam Support: The backrest and seat are filled with two l | 后部副图: 商品副图视觉/文案明确命中</x:v>
      </x:c>
      <x:c r="N159" s="150" t="str">
        <x:v>https://www.amazon.com/dp/B0H7HKB2LN</x:v>
      </x:c>
      <x:c r="O159" s="150" t="str">
        <x:v>已验证</x:v>
      </x:c>
    </x:row>
    <x:row r="160" ht="48" customHeight="1">
      <x:c r="A160" s="206" t="str">
        <x:v>B0H7HKB2LN</x:v>
      </x:c>
      <x:c r="B160" s="150" t="str">
        <x:v>Remote Workers</x:v>
      </x:c>
      <x:c r="C160" s="136" t="str">
        <x:v>人群</x:v>
      </x:c>
      <x:c r="D160" s="151" t="n">
        <x:v>0</x:v>
      </x:c>
      <x:c r="E160" s="151" t="n">
        <x:v>1</x:v>
      </x:c>
      <x:c r="F160" s="151" t="n">
        <x:v>0</x:v>
      </x:c>
      <x:c r="G160" s="151" t="n">
        <x:v>0</x:v>
      </x:c>
      <x:c r="H160" s="151" t="n">
        <x:v>0</x:v>
      </x:c>
      <x:c r="I160" s="151" t="n">
        <x:v>0</x:v>
      </x:c>
      <x:c r="J160" s="151" t="n">
        <x:v>0</x:v>
      </x:c>
      <x:c r="K160" s="152" t="n">
        <x:f>D160*2+E160*2+F160*2+G160*2+H160+I160+J160</x:f>
        <x:v>2</x:v>
      </x:c>
      <x:c r="L160" s="153" t="str">
        <x:f>IF(K160&gt;=6,"高介绍",IF(K160&gt;=3,"中介绍",IF(K160&gt;=1,"低介绍","未介绍")))</x:f>
        <x:v>低介绍</x:v>
      </x:c>
      <x:c r="M160" s="150" t="str">
        <x:v>Image 2–4: 商品副图视觉/文案明确命中</x:v>
      </x:c>
      <x:c r="N160" s="150" t="str">
        <x:v>https://www.amazon.com/dp/B0H7HKB2LN</x:v>
      </x:c>
      <x:c r="O160" s="150" t="str">
        <x:v>已验证</x:v>
      </x:c>
    </x:row>
    <x:row r="161" ht="48" customHeight="1">
      <x:c r="A161" s="206" t="str">
        <x:v>B0H7HKB2LN</x:v>
      </x:c>
      <x:c r="B161" s="150" t="str">
        <x:v>Office Workers</x:v>
      </x:c>
      <x:c r="C161" s="136" t="str">
        <x:v>人群</x:v>
      </x:c>
      <x:c r="D161" s="151" t="n">
        <x:v>0</x:v>
      </x:c>
      <x:c r="E161" s="151" t="n">
        <x:v>0</x:v>
      </x:c>
      <x:c r="F161" s="151" t="n">
        <x:v>0</x:v>
      </x:c>
      <x:c r="G161" s="151" t="n">
        <x:v>0</x:v>
      </x:c>
      <x:c r="H161" s="151" t="n">
        <x:v>0</x:v>
      </x:c>
      <x:c r="I161" s="151" t="n">
        <x:v>0</x:v>
      </x:c>
      <x:c r="J161" s="151" t="n">
        <x:v>0</x:v>
      </x:c>
      <x:c r="K161" s="152" t="n">
        <x:f>D161*2+E161*2+F161*2+G161*2+H161+I161+J161</x:f>
        <x:v>0</x:v>
      </x:c>
      <x:c r="L161" s="153" t="str">
        <x:f>IF(K161&gt;=6,"高介绍",IF(K161&gt;=3,"中介绍",IF(K161&gt;=1,"低介绍","未介绍")))</x:f>
        <x:v>未介绍</x:v>
      </x:c>
      <x:c r="M161" s="150" t="str">
        <x:v>Listing 已核验，未发现该标签的明确资源位表达</x:v>
      </x:c>
      <x:c r="N161" s="150" t="str">
        <x:v>https://www.amazon.com/dp/B0H7HKB2LN</x:v>
      </x:c>
      <x:c r="O161" s="150" t="str">
        <x:v>已验证</x:v>
      </x:c>
    </x:row>
    <x:row r="162" ht="48" customHeight="1">
      <x:c r="A162" s="206" t="str">
        <x:v>B0H7HKB2LN</x:v>
      </x:c>
      <x:c r="B162" s="150" t="str">
        <x:v>Home Office</x:v>
      </x:c>
      <x:c r="C162" s="139" t="str">
        <x:v>场景</x:v>
      </x:c>
      <x:c r="D162" s="151" t="n">
        <x:v>1</x:v>
      </x:c>
      <x:c r="E162" s="151" t="n">
        <x:v>1</x:v>
      </x:c>
      <x:c r="F162" s="151" t="n">
        <x:v>1</x:v>
      </x:c>
      <x:c r="G162" s="151" t="n">
        <x:v>0</x:v>
      </x:c>
      <x:c r="H162" s="151" t="n">
        <x:v>0</x:v>
      </x:c>
      <x:c r="I162" s="151" t="n">
        <x:v>1</x:v>
      </x:c>
      <x:c r="J162" s="151" t="n">
        <x:v>0</x:v>
      </x:c>
      <x:c r="K162" s="152" t="n">
        <x:f>D162*2+E162*2+F162*2+G162*2+H162+I162+J162</x:f>
        <x:v>7</x:v>
      </x:c>
      <x:c r="L162" s="153" t="str">
        <x:f>IF(K162&gt;=6,"高介绍",IF(K162&gt;=3,"中介绍",IF(K162&gt;=1,"低介绍","未介绍")))</x:f>
        <x:v>高介绍</x:v>
      </x:c>
      <x:c r="M162" s="150" t="str">
        <x:v>Title:  Big and Tall Gaming Chair with Footrest for Home Office 500LBS Black | Image 2–4: 商品副图视觉/文案明确命中 | Bullet 1–2: ly through work, PC gaming, reading, or long home office sessions. Thick Dual-Layer Foam Support: The backrest and seat are filled with two layers of high-density foam to create a soft first feel | Bullet 3–5: ace helps it stay clean through daily use in home offices, bedrooms, gaming rooms, or shared work areas.</x:v>
      </x:c>
      <x:c r="N162" s="150" t="str">
        <x:v>https://www.amazon.com/dp/B0H7HKB2LN</x:v>
      </x:c>
      <x:c r="O162" s="150" t="str">
        <x:v>已验证</x:v>
      </x:c>
    </x:row>
    <x:row r="163" ht="48" customHeight="1">
      <x:c r="A163" s="206" t="str">
        <x:v>B0H7HKB2LN</x:v>
      </x:c>
      <x:c r="B163" s="150" t="str">
        <x:v>Office / Workspace</x:v>
      </x:c>
      <x:c r="C163" s="139" t="str">
        <x:v>场景</x:v>
      </x:c>
      <x:c r="D163" s="151" t="n">
        <x:v>1</x:v>
      </x:c>
      <x:c r="E163" s="151" t="n">
        <x:v>1</x:v>
      </x:c>
      <x:c r="F163" s="151" t="n">
        <x:v>1</x:v>
      </x:c>
      <x:c r="G163" s="151" t="n">
        <x:v>0</x:v>
      </x:c>
      <x:c r="H163" s="151" t="n">
        <x:v>0</x:v>
      </x:c>
      <x:c r="I163" s="151" t="n">
        <x:v>1</x:v>
      </x:c>
      <x:c r="J163" s="151" t="n">
        <x:v>0</x:v>
      </x:c>
      <x:c r="K163" s="152" t="n">
        <x:f>D163*2+E163*2+F163*2+G163*2+H163+I163+J163</x:f>
        <x:v>7</x:v>
      </x:c>
      <x:c r="L163" s="153" t="str">
        <x:f>IF(K163&gt;=6,"高介绍",IF(K163&gt;=3,"中介绍",IF(K163&gt;=1,"低介绍","未介绍")))</x:f>
        <x:v>高介绍</x:v>
      </x:c>
      <x:c r="M163" s="150" t="str">
        <x:v>Title: and Tall Gaming Chair with Footrest for Home Office 500LBS Black | Image 2–4: 商品副图视觉/文案明确命中 | Bullet 1–2: Big and Tall Office Chair with 500 LBS Support: Made for adults who need more space than a standard gaming chair, this ergonomic gaming chair combines a wider exec | Bullet 3–5:  your body as you lean back. Whether you are typing upright, gaming with a controller, or taking a short break, the soft padded surface gives your elbows and forearms a more natural place to rest</x:v>
      </x:c>
      <x:c r="N163" s="150" t="str">
        <x:v>https://www.amazon.com/dp/B0H7HKB2LN</x:v>
      </x:c>
      <x:c r="O163" s="150" t="str">
        <x:v>已验证</x:v>
      </x:c>
    </x:row>
    <x:row r="164" ht="48" customHeight="1">
      <x:c r="A164" s="206" t="str">
        <x:v>B0H7HKB2LN</x:v>
      </x:c>
      <x:c r="B164" s="150" t="str">
        <x:v>Bedroom</x:v>
      </x:c>
      <x:c r="C164" s="139" t="str">
        <x:v>场景</x:v>
      </x:c>
      <x:c r="D164" s="151" t="n">
        <x:v>0</x:v>
      </x:c>
      <x:c r="E164" s="151" t="n">
        <x:v>0</x:v>
      </x:c>
      <x:c r="F164" s="151" t="n">
        <x:v>0</x:v>
      </x:c>
      <x:c r="G164" s="151" t="n">
        <x:v>0</x:v>
      </x:c>
      <x:c r="H164" s="151" t="n">
        <x:v>0</x:v>
      </x:c>
      <x:c r="I164" s="151" t="n">
        <x:v>1</x:v>
      </x:c>
      <x:c r="J164" s="151" t="n">
        <x:v>0</x:v>
      </x:c>
      <x:c r="K164" s="152" t="n">
        <x:f>D164*2+E164*2+F164*2+G164*2+H164+I164+J164</x:f>
        <x:v>1</x:v>
      </x:c>
      <x:c r="L164" s="153" t="str">
        <x:f>IF(K164&gt;=6,"高介绍",IF(K164&gt;=3,"中介绍",IF(K164&gt;=1,"低介绍","未介绍")))</x:f>
        <x:v>低介绍</x:v>
      </x:c>
      <x:c r="M164" s="150" t="str">
        <x:v>Bullet 3–5: tay clean through daily use in home offices, bedrooms, gaming rooms, or shared work areas.</x:v>
      </x:c>
      <x:c r="N164" s="150" t="str">
        <x:v>https://www.amazon.com/dp/B0H7HKB2LN</x:v>
      </x:c>
      <x:c r="O164" s="150" t="str">
        <x:v>已验证</x:v>
      </x:c>
    </x:row>
    <x:row r="165" ht="48" customHeight="1">
      <x:c r="A165" s="206" t="str">
        <x:v>B0H7HKB2LN</x:v>
      </x:c>
      <x:c r="B165" s="150" t="str">
        <x:v>Entertainment / Leisure Space</x:v>
      </x:c>
      <x:c r="C165" s="139" t="str">
        <x:v>场景</x:v>
      </x:c>
      <x:c r="D165" s="151" t="n">
        <x:v>0</x:v>
      </x:c>
      <x:c r="E165" s="151" t="n">
        <x:v>0</x:v>
      </x:c>
      <x:c r="F165" s="151" t="n">
        <x:v>0</x:v>
      </x:c>
      <x:c r="G165" s="151" t="n">
        <x:v>0</x:v>
      </x:c>
      <x:c r="H165" s="151" t="n">
        <x:v>0</x:v>
      </x:c>
      <x:c r="I165" s="151" t="n">
        <x:v>1</x:v>
      </x:c>
      <x:c r="J165" s="151" t="n">
        <x:v>0</x:v>
      </x:c>
      <x:c r="K165" s="152" t="n">
        <x:f>D165*2+E165*2+F165*2+G165*2+H165+I165+J165</x:f>
        <x:v>1</x:v>
      </x:c>
      <x:c r="L165" s="153" t="str">
        <x:f>IF(K165&gt;=6,"高介绍",IF(K165&gt;=3,"中介绍",IF(K165&gt;=1,"低介绍","未介绍")))</x:f>
        <x:v>低介绍</x:v>
      </x:c>
      <x:c r="M165" s="150" t="str">
        <x:v>Bullet 3–5:  footrest lets you move from focused work to relaxed breaks without leaving your desk. Stay upright for computer tasks, lean back for video watching, or pull out the footrest when you want to str</x:v>
      </x:c>
      <x:c r="N165" s="150" t="str">
        <x:v>https://www.amazon.com/dp/B0H7HKB2LN</x:v>
      </x:c>
      <x:c r="O165" s="150" t="str">
        <x:v>已验证</x:v>
      </x:c>
    </x:row>
    <x:row r="166" ht="48" customHeight="1">
      <x:c r="A166" s="206" t="str">
        <x:v>B0H7HKB2LN</x:v>
      </x:c>
      <x:c r="B166" s="150" t="str">
        <x:v>Gaming Room / Setup</x:v>
      </x:c>
      <x:c r="C166" s="139" t="str">
        <x:v>场景</x:v>
      </x:c>
      <x:c r="D166" s="151" t="n">
        <x:v>0</x:v>
      </x:c>
      <x:c r="E166" s="151" t="n">
        <x:v>0</x:v>
      </x:c>
      <x:c r="F166" s="151" t="n">
        <x:v>0</x:v>
      </x:c>
      <x:c r="G166" s="151" t="n">
        <x:v>0</x:v>
      </x:c>
      <x:c r="H166" s="151" t="n">
        <x:v>0</x:v>
      </x:c>
      <x:c r="I166" s="151" t="n">
        <x:v>1</x:v>
      </x:c>
      <x:c r="J166" s="151" t="n">
        <x:v>0</x:v>
      </x:c>
      <x:c r="K166" s="152" t="n">
        <x:f>D166*2+E166*2+F166*2+G166*2+H166+I166+J166</x:f>
        <x:v>1</x:v>
      </x:c>
      <x:c r="L166" s="153" t="str">
        <x:f>IF(K166&gt;=6,"高介绍",IF(K166&gt;=3,"中介绍",IF(K166&gt;=1,"低介绍","未介绍")))</x:f>
        <x:v>低介绍</x:v>
      </x:c>
      <x:c r="M166" s="150" t="str">
        <x:v>Bullet 3–5: through daily use in home offices, bedrooms, gaming rooms, or shared work areas.</x:v>
      </x:c>
      <x:c r="N166" s="150" t="str">
        <x:v>https://www.amazon.com/dp/B0H7HKB2LN</x:v>
      </x:c>
      <x:c r="O166" s="150" t="str">
        <x:v>已验证</x:v>
      </x:c>
    </x:row>
    <x:row r="167" ht="48" customHeight="1">
      <x:c r="A167" s="206" t="str">
        <x:v>B0H7HKB2LN</x:v>
      </x:c>
      <x:c r="B167" s="150" t="str">
        <x:v>Gaming</x:v>
      </x:c>
      <x:c r="C167" s="142" t="str">
        <x:v>用途</x:v>
      </x:c>
      <x:c r="D167" s="151" t="n">
        <x:v>1</x:v>
      </x:c>
      <x:c r="E167" s="151" t="n">
        <x:v>0</x:v>
      </x:c>
      <x:c r="F167" s="151" t="n">
        <x:v>1</x:v>
      </x:c>
      <x:c r="G167" s="151" t="n">
        <x:v>1</x:v>
      </x:c>
      <x:c r="H167" s="151" t="n">
        <x:v>0</x:v>
      </x:c>
      <x:c r="I167" s="151" t="n">
        <x:v>1</x:v>
      </x:c>
      <x:c r="J167" s="151" t="n">
        <x:v>1</x:v>
      </x:c>
      <x:c r="K167" s="152" t="n">
        <x:f>D167*2+E167*2+F167*2+G167*2+H167+I167+J167</x:f>
        <x:v>8</x:v>
      </x:c>
      <x:c r="L167" s="153" t="str">
        <x:f>IF(K167&gt;=6,"高介绍",IF(K167&gt;=3,"中介绍",IF(K167&gt;=1,"低介绍","未介绍")))</x:f>
        <x:v>高介绍</x:v>
      </x:c>
      <x:c r="M167" s="150" t="str">
        <x:v>Title: Dowinx Big and Tall Gaming Chair with Footrest for Home Office 500LBS Black | Bullet 1–2: r adults who need more space than a standard gaming chair, this ergonomic gaming chair combines a wider executive frame, enlarged backrest, and roomy seat area to help larger users sit more comfo | A+核心: Big and Tall Gaming Chair | Bullet 3–5: l-Out Footrest: Built for long sitting, this gaming chair with footrest lets you move from focused work to relaxed breaks without leaving your desk. Stay upright for computer tasks, lean back for | A+其他: Big and Tall Gaming Chair | Big and Tall Gaming Chair | Previous page Next page | Big and Tall Gaming Chair | Previous page Next page | Big and Tall Gaming Chair |</x:v>
      </x:c>
      <x:c r="N167" s="150" t="str">
        <x:v>https://www.amazon.com/dp/B0H7HKB2LN</x:v>
      </x:c>
      <x:c r="O167" s="150" t="str">
        <x:v>已验证</x:v>
      </x:c>
    </x:row>
    <x:row r="168" ht="48" customHeight="1">
      <x:c r="A168" s="206" t="str">
        <x:v>B0H7HKB2LN</x:v>
      </x:c>
      <x:c r="B168" s="150" t="str">
        <x:v>Work</x:v>
      </x:c>
      <x:c r="C168" s="142" t="str">
        <x:v>用途</x:v>
      </x:c>
      <x:c r="D168" s="151" t="n">
        <x:v>1</x:v>
      </x:c>
      <x:c r="E168" s="151" t="n">
        <x:v>1</x:v>
      </x:c>
      <x:c r="F168" s="151" t="n">
        <x:v>1</x:v>
      </x:c>
      <x:c r="G168" s="151" t="n">
        <x:v>0</x:v>
      </x:c>
      <x:c r="H168" s="151" t="n">
        <x:v>0</x:v>
      </x:c>
      <x:c r="I168" s="151" t="n">
        <x:v>1</x:v>
      </x:c>
      <x:c r="J168" s="151" t="n">
        <x:v>0</x:v>
      </x:c>
      <x:c r="K168" s="152" t="n">
        <x:f>D168*2+E168*2+F168*2+G168*2+H168+I168+J168</x:f>
        <x:v>7</x:v>
      </x:c>
      <x:c r="L168" s="153" t="str">
        <x:f>IF(K168&gt;=6,"高介绍",IF(K168&gt;=3,"中介绍",IF(K168&gt;=1,"低介绍","未介绍")))</x:f>
        <x:v>高介绍</x:v>
      </x:c>
      <x:c r="M168" s="150" t="str">
        <x:v>Title: and Tall Gaming Chair with Footrest for Home Office 500LBS Black | Image 2–4: 商品副图视觉/文案明确命中 | Bullet 1–2: Big and Tall Office Chair with 500 LBS Support: Made for adults who need more space than a standard gaming chair, this ergonomic gaming chair combines a wider exec | Bullet 3–5: air with footrest lets you move from focused work to relaxed breaks without leaving your desk. Stay upright for computer tasks, lean back for video watching, or pull out the footrest when you wan</x:v>
      </x:c>
      <x:c r="N168" s="150" t="str">
        <x:v>https://www.amazon.com/dp/B0H7HKB2LN</x:v>
      </x:c>
      <x:c r="O168" s="150" t="str">
        <x:v>已验证</x:v>
      </x:c>
    </x:row>
    <x:row r="169" ht="48" customHeight="1">
      <x:c r="A169" s="206" t="str">
        <x:v>B0H7HKB2LN</x:v>
      </x:c>
      <x:c r="B169" s="150" t="str">
        <x:v>Relaxing</x:v>
      </x:c>
      <x:c r="C169" s="142" t="str">
        <x:v>用途</x:v>
      </x:c>
      <x:c r="D169" s="151" t="n">
        <x:v>1</x:v>
      </x:c>
      <x:c r="E169" s="151" t="n">
        <x:v>0</x:v>
      </x:c>
      <x:c r="F169" s="151" t="n">
        <x:v>1</x:v>
      </x:c>
      <x:c r="G169" s="151" t="n">
        <x:v>0</x:v>
      </x:c>
      <x:c r="H169" s="151" t="n">
        <x:v>1</x:v>
      </x:c>
      <x:c r="I169" s="151" t="n">
        <x:v>1</x:v>
      </x:c>
      <x:c r="J169" s="151" t="n">
        <x:v>0</x:v>
      </x:c>
      <x:c r="K169" s="152" t="n">
        <x:f>D169*2+E169*2+F169*2+G169*2+H169+I169+J169</x:f>
        <x:v>6</x:v>
      </x:c>
      <x:c r="L169" s="153" t="str">
        <x:f>IF(K169&gt;=6,"高介绍",IF(K169&gt;=3,"中介绍",IF(K169&gt;=1,"低介绍","未介绍")))</x:f>
        <x:v>高介绍</x:v>
      </x:c>
      <x:c r="M169" s="150" t="str">
        <x:v>Title: Dowinx Big and Tall Gaming Chair with Footrest for Home Office 500LBS Black | Bullet 1–2: mbines a wider executive frame, enlarged backrest, and roomy seat area to help larger users sit more comfortably through work, PC gaming, reading, or long home office sessions. Thick Dual-Layer F | 后部副图: 商品副图视觉/文案明确命中 | Bullet 3–5: Ergonomic Recline 90-135° with Pull-Out Footrest: Built for long sitting, this gaming chair with footrest lets you move from focused work to relaxed breaks without leaving your desk. Stay uprigh</x:v>
      </x:c>
      <x:c r="N169" s="150" t="str">
        <x:v>https://www.amazon.com/dp/B0H7HKB2LN</x:v>
      </x:c>
      <x:c r="O169" s="150" t="str">
        <x:v>已验证</x:v>
      </x:c>
    </x:row>
    <x:row r="170" ht="48" customHeight="1">
      <x:c r="A170" s="206" t="str">
        <x:v>B0H7HKB2LN</x:v>
      </x:c>
      <x:c r="B170" s="150" t="str">
        <x:v>Computer Use</x:v>
      </x:c>
      <x:c r="C170" s="142" t="str">
        <x:v>用途</x:v>
      </x:c>
      <x:c r="D170" s="151" t="n">
        <x:v>0</x:v>
      </x:c>
      <x:c r="E170" s="151" t="n">
        <x:v>0</x:v>
      </x:c>
      <x:c r="F170" s="151" t="n">
        <x:v>1</x:v>
      </x:c>
      <x:c r="G170" s="151" t="n">
        <x:v>0</x:v>
      </x:c>
      <x:c r="H170" s="151" t="n">
        <x:v>0</x:v>
      </x:c>
      <x:c r="I170" s="151" t="n">
        <x:v>1</x:v>
      </x:c>
      <x:c r="J170" s="151" t="n">
        <x:v>0</x:v>
      </x:c>
      <x:c r="K170" s="152" t="n">
        <x:f>D170*2+E170*2+F170*2+G170*2+H170+I170+J170</x:f>
        <x:v>3</x:v>
      </x:c>
      <x:c r="L170" s="153" t="str">
        <x:f>IF(K170&gt;=6,"高介绍",IF(K170&gt;=3,"中介绍",IF(K170&gt;=1,"低介绍","未介绍")))</x:f>
        <x:v>中介绍</x:v>
      </x:c>
      <x:c r="M170" s="150" t="str">
        <x:v>Bullet 1–2: ger users sit more comfortably through work, PC gaming, reading, or long home office sessions. Thick Dual-Layer Foam Support: The backrest and seat are filled with two layers of high-density foam | Bullet 3–5:  without leaving your desk. Stay upright for computer tasks, lean back for video watching, or pull out the footrest when you want to stretch your legs. Soft Linkage Armrests That Move with You: T</x:v>
      </x:c>
      <x:c r="N170" s="150" t="str">
        <x:v>https://www.amazon.com/dp/B0H7HKB2LN</x:v>
      </x:c>
      <x:c r="O170" s="150" t="str">
        <x:v>已验证</x:v>
      </x:c>
    </x:row>
    <x:row r="171" ht="48" customHeight="1">
      <x:c r="A171" s="206" t="str">
        <x:v>B0H7HKB2LN</x:v>
      </x:c>
      <x:c r="B171" s="150" t="str">
        <x:v>Reading</x:v>
      </x:c>
      <x:c r="C171" s="142" t="str">
        <x:v>用途</x:v>
      </x:c>
      <x:c r="D171" s="151" t="n">
        <x:v>0</x:v>
      </x:c>
      <x:c r="E171" s="151" t="n">
        <x:v>0</x:v>
      </x:c>
      <x:c r="F171" s="151" t="n">
        <x:v>1</x:v>
      </x:c>
      <x:c r="G171" s="151" t="n">
        <x:v>0</x:v>
      </x:c>
      <x:c r="H171" s="151" t="n">
        <x:v>0</x:v>
      </x:c>
      <x:c r="I171" s="151" t="n">
        <x:v>0</x:v>
      </x:c>
      <x:c r="J171" s="151" t="n">
        <x:v>0</x:v>
      </x:c>
      <x:c r="K171" s="152" t="n">
        <x:f>D171*2+E171*2+F171*2+G171*2+H171+I171+J171</x:f>
        <x:v>2</x:v>
      </x:c>
      <x:c r="L171" s="153" t="str">
        <x:f>IF(K171&gt;=6,"高介绍",IF(K171&gt;=3,"中介绍",IF(K171&gt;=1,"低介绍","未介绍")))</x:f>
        <x:v>低介绍</x:v>
      </x:c>
      <x:c r="M171" s="150" t="str">
        <x:v>Bullet 1–2: it more comfortably through work, PC gaming, reading, or long home office sessions. Thick Dual-Layer Foam Support: The backrest and seat are filled with two layers of high-density foam to create </x:v>
      </x:c>
      <x:c r="N171" s="150" t="str">
        <x:v>https://www.amazon.com/dp/B0H7HKB2LN</x:v>
      </x:c>
      <x:c r="O171" s="150" t="str">
        <x:v>已验证</x:v>
      </x:c>
    </x:row>
    <x:row r="172" ht="48" customHeight="1">
      <x:c r="A172" s="206" t="str">
        <x:v>B0H7HKB2LN</x:v>
      </x:c>
      <x:c r="B172" s="150" t="str">
        <x:v>Long Hours</x:v>
      </x:c>
      <x:c r="C172" s="145" t="str">
        <x:v>频率</x:v>
      </x:c>
      <x:c r="D172" s="151" t="n">
        <x:v>0</x:v>
      </x:c>
      <x:c r="E172" s="151" t="n">
        <x:v>0</x:v>
      </x:c>
      <x:c r="F172" s="151" t="n">
        <x:v>1</x:v>
      </x:c>
      <x:c r="G172" s="151" t="n">
        <x:v>0</x:v>
      </x:c>
      <x:c r="H172" s="151" t="n">
        <x:v>1</x:v>
      </x:c>
      <x:c r="I172" s="151" t="n">
        <x:v>0</x:v>
      </x:c>
      <x:c r="J172" s="151" t="n">
        <x:v>0</x:v>
      </x:c>
      <x:c r="K172" s="152" t="n">
        <x:f>D172*2+E172*2+F172*2+G172*2+H172+I172+J172</x:f>
        <x:v>3</x:v>
      </x:c>
      <x:c r="L172" s="153" t="str">
        <x:f>IF(K172&gt;=6,"高介绍",IF(K172&gt;=3,"中介绍",IF(K172&gt;=1,"低介绍","未介绍")))</x:f>
        <x:v>中介绍</x:v>
      </x:c>
      <x:c r="M172" s="150" t="str">
        <x:v>Bullet 1–2: feel fuller and more settled seating through long hours work, gaming marathon, or everyday use. | 后部副图: 商品副图视觉/文案明确命中</x:v>
      </x:c>
      <x:c r="N172" s="150" t="str">
        <x:v>https://www.amazon.com/dp/B0H7HKB2LN</x:v>
      </x:c>
      <x:c r="O172" s="150" t="str">
        <x:v>已验证</x:v>
      </x:c>
    </x:row>
  </x:sheetData>
  <x:pageMargins left="0.7" right="0.7" top="0.75" bottom="0.75" header="0.3" footer="0.3"/>
  <x:tableParts count="1">
    <x:tablePart xmlns:r="http://schemas.openxmlformats.org/officeDocument/2006/relationships" r:id="R1ef63558fe06470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10" hidden="0" customWidth="1"/>
    <x:col min="3" max="3" width="12" hidden="0" customWidth="1"/>
    <x:col min="4" max="4" width="12" hidden="0" customWidth="1"/>
    <x:col min="5" max="5" width="12" hidden="0" customWidth="1"/>
    <x:col min="6" max="6" width="30" hidden="0" customWidth="1"/>
    <x:col min="7" max="7" width="16" hidden="0" customWidth="1"/>
    <x:col min="8" max="8" width="18" hidden="0" customWidth="1"/>
    <x:col min="9" max="9" width="16" hidden="0" customWidth="1"/>
    <x:col min="10" max="10" width="18" hidden="0" customWidth="1"/>
    <x:col min="11" max="11" width="18" hidden="0" customWidth="1"/>
    <x:col min="12" max="12" width="48" hidden="0" customWidth="1"/>
    <x:col min="13" max="13" width="24" hidden="0" customWidth="1"/>
  </x:cols>
  <x:sheetData>
    <x:row r="1" ht="40" customHeight="1">
      <x:c r="A1" s="16" t="str">
        <x:v>标签</x:v>
      </x:c>
      <x:c r="B1" s="16" t="str">
        <x:v>标签类型</x:v>
      </x:c>
      <x:c r="C1" s="16" t="str">
        <x:v>覆盖竞品数</x:v>
      </x:c>
      <x:c r="D1" s="16" t="str">
        <x:v>有效竞品总数</x:v>
      </x:c>
      <x:c r="E1" s="16" t="str">
        <x:v>Coverage</x:v>
      </x:c>
      <x:c r="F1" s="16" t="str">
        <x:v>Coverage 等级</x:v>
      </x:c>
      <x:c r="G1" s="16" t="str">
        <x:v>介绍度有效样本数</x:v>
      </x:c>
      <x:c r="H1" s="16" t="str">
        <x:v>Market Expression</x:v>
      </x:c>
      <x:c r="I1" s="16" t="str">
        <x:v>市场介绍等级</x:v>
      </x:c>
      <x:c r="J1" s="16" t="str">
        <x:v>标签市场分类（A / B1 / B2 / C）</x:v>
      </x:c>
      <x:c r="K1" s="16" t="str">
        <x:v>分类名称</x:v>
      </x:c>
      <x:c r="L1" s="16" t="str">
        <x:v>分类理由</x:v>
      </x:c>
      <x:c r="M1" s="16" t="str">
        <x:v>数据状态</x:v>
      </x:c>
    </x:row>
    <x:row r="2" ht="34" customHeight="1">
      <x:c r="A2" s="45" t="str">
        <x:v>Gamers</x:v>
      </x:c>
      <x:c r="B2" s="155" t="str">
        <x:v>人群</x:v>
      </x:c>
      <x:c r="C2" s="47" t="n">
        <x:f>'标签覆盖率'!C2</x:f>
        <x:v>10</x:v>
      </x:c>
      <x:c r="D2" s="47" t="n">
        <x:f>'标签覆盖率'!D2</x:f>
        <x:v>10</x:v>
      </x:c>
      <x:c r="E2" s="48" t="n">
        <x:f>'标签覆盖率'!E2</x:f>
        <x:v>1</x:v>
      </x:c>
      <x:c r="F2" s="45" t="str">
        <x:f>'标签覆盖率'!F2</x:f>
        <x:v>Absolute Consensus / 全竞品共识</x:v>
      </x:c>
      <x:c r="G2" s="45" t="n">
        <x:f>COUNTIFS('标签介绍度'!$B$2:$B$172,A2,'标签介绍度'!$O$2:$O$172,"已验证")</x:f>
        <x:v>10</x:v>
      </x:c>
      <x:c r="H2" s="74" t="n">
        <x:f>IF(G2=0,"",AVERAGEIFS('标签介绍度'!$K$2:$K$172,'标签介绍度'!$B$2:$B$172,A2,'标签介绍度'!$O$2:$O$172,"已验证"))</x:f>
        <x:v>8.4</x:v>
      </x:c>
      <x:c r="I2" s="45" t="str">
        <x:f>IF(G2=0,"未验证",IF(H2&gt;=6,"高介绍",IF(H2&gt;=3,"中介绍","低介绍")))</x:f>
        <x:v>高介绍</x:v>
      </x:c>
      <x:c r="J2" s="45" t="str">
        <x:f>IF(G2=0,"C",IF(AND(E2&gt;=0.8,H2&gt;=6),"A",IF(AND(E2&gt;=0.5,H2&lt;6),"B1",IF(AND(E2&gt;=0.2,E2&lt;0.8,H2&gt;=6),"B2","C"))))</x:f>
        <x:v>A</x:v>
      </x:c>
      <x:c r="K2" s="45" t="str">
        <x:f>IF(J2="A","必要表达候选",IF(J2="B1","普及但弱介绍",IF(J2="B2","细分强介绍","次级 / 观察")))</x:f>
        <x:v>必要表达候选</x:v>
      </x:c>
      <x:c r="L2" s="45" t="str">
        <x:f>"Coverage="&amp;E2&amp;"；Market Expression="&amp;H2&amp;"；按固定规则归入 "&amp;J2</x:f>
        <x:v>Coverage=1；Market Expression=8.4；按固定规则归入 A</x:v>
      </x:c>
      <x:c r="M2" s="45" t="str">
        <x:f>IF(D2&lt;10,"样本不足，不得作为正式结论",IF(G2=0,"介绍度未验证","正式数据"))</x:f>
        <x:v>正式数据</x:v>
      </x:c>
    </x:row>
    <x:row r="3" ht="34" customHeight="1">
      <x:c r="A3" s="41" t="str">
        <x:v>Office Workers</x:v>
      </x:c>
      <x:c r="B3" s="157" t="str">
        <x:v>人群</x:v>
      </x:c>
      <x:c r="C3" s="43" t="n">
        <x:f>'标签覆盖率'!C3</x:f>
        <x:v>10</x:v>
      </x:c>
      <x:c r="D3" s="43" t="n">
        <x:f>'标签覆盖率'!D3</x:f>
        <x:v>10</x:v>
      </x:c>
      <x:c r="E3" s="44" t="n">
        <x:f>'标签覆盖率'!E3</x:f>
        <x:v>1</x:v>
      </x:c>
      <x:c r="F3" s="41" t="str">
        <x:f>'标签覆盖率'!F3</x:f>
        <x:v>Absolute Consensus / 全竞品共识</x:v>
      </x:c>
      <x:c r="G3" s="41" t="n">
        <x:f>COUNTIFS('标签介绍度'!$B$2:$B$172,A3,'标签介绍度'!$O$2:$O$172,"已验证")</x:f>
        <x:v>10</x:v>
      </x:c>
      <x:c r="H3" s="73" t="n">
        <x:f>IF(G3=0,"",AVERAGEIFS('标签介绍度'!$K$2:$K$172,'标签介绍度'!$B$2:$B$172,A3,'标签介绍度'!$O$2:$O$172,"已验证"))</x:f>
        <x:v>0.1</x:v>
      </x:c>
      <x:c r="I3" s="41" t="str">
        <x:f>IF(G3=0,"未验证",IF(H3&gt;=6,"高介绍",IF(H3&gt;=3,"中介绍","低介绍")))</x:f>
        <x:v>低介绍</x:v>
      </x:c>
      <x:c r="J3" s="41" t="str">
        <x:f>IF(G3=0,"C",IF(AND(E3&gt;=0.8,H3&gt;=6),"A",IF(AND(E3&gt;=0.5,H3&lt;6),"B1",IF(AND(E3&gt;=0.2,E3&lt;0.8,H3&gt;=6),"B2","C"))))</x:f>
        <x:v>B1</x:v>
      </x:c>
      <x:c r="K3" s="41" t="str">
        <x:f>IF(J3="A","必要表达候选",IF(J3="B1","普及但弱介绍",IF(J3="B2","细分强介绍","次级 / 观察")))</x:f>
        <x:v>普及但弱介绍</x:v>
      </x:c>
      <x:c r="L3" s="41" t="str">
        <x:f>"Coverage="&amp;E3&amp;"；Market Expression="&amp;H3&amp;"；按固定规则归入 "&amp;J3</x:f>
        <x:v>Coverage=1；Market Expression=0.1；按固定规则归入 B1</x:v>
      </x:c>
      <x:c r="M3" s="41" t="str">
        <x:f>IF(D3&lt;10,"样本不足，不得作为正式结论",IF(G3=0,"介绍度未验证","正式数据"))</x:f>
        <x:v>正式数据</x:v>
      </x:c>
    </x:row>
    <x:row r="4" ht="34" customHeight="1">
      <x:c r="A4" s="41" t="str">
        <x:v>Big &amp; Tall Users</x:v>
      </x:c>
      <x:c r="B4" s="157" t="str">
        <x:v>人群</x:v>
      </x:c>
      <x:c r="C4" s="43" t="n">
        <x:f>'标签覆盖率'!C4</x:f>
        <x:v>6</x:v>
      </x:c>
      <x:c r="D4" s="43" t="n">
        <x:f>'标签覆盖率'!D4</x:f>
        <x:v>10</x:v>
      </x:c>
      <x:c r="E4" s="44" t="n">
        <x:f>'标签覆盖率'!E4</x:f>
        <x:v>0.6</x:v>
      </x:c>
      <x:c r="F4" s="41" t="str">
        <x:f>'标签覆盖率'!F4</x:f>
        <x:v>中覆盖</x:v>
      </x:c>
      <x:c r="G4" s="41" t="n">
        <x:f>COUNTIFS('标签介绍度'!$B$2:$B$172,A4,'标签介绍度'!$O$2:$O$172,"已验证")</x:f>
        <x:v>6</x:v>
      </x:c>
      <x:c r="H4" s="73" t="n">
        <x:f>IF(G4=0,"",AVERAGEIFS('标签介绍度'!$K$2:$K$172,'标签介绍度'!$B$2:$B$172,A4,'标签介绍度'!$O$2:$O$172,"已验证"))</x:f>
        <x:v>6.666666666666667</x:v>
      </x:c>
      <x:c r="I4" s="41" t="str">
        <x:f>IF(G4=0,"未验证",IF(H4&gt;=6,"高介绍",IF(H4&gt;=3,"中介绍","低介绍")))</x:f>
        <x:v>高介绍</x:v>
      </x:c>
      <x:c r="J4" s="41" t="str">
        <x:f>IF(G4=0,"C",IF(AND(E4&gt;=0.8,H4&gt;=6),"A",IF(AND(E4&gt;=0.5,H4&lt;6),"B1",IF(AND(E4&gt;=0.2,E4&lt;0.8,H4&gt;=6),"B2","C"))))</x:f>
        <x:v>B2</x:v>
      </x:c>
      <x:c r="K4" s="41" t="str">
        <x:f>IF(J4="A","必要表达候选",IF(J4="B1","普及但弱介绍",IF(J4="B2","细分强介绍","次级 / 观察")))</x:f>
        <x:v>细分强介绍</x:v>
      </x:c>
      <x:c r="L4" s="41" t="str">
        <x:f>"Coverage="&amp;E4&amp;"；Market Expression="&amp;H4&amp;"；按固定规则归入 "&amp;J4</x:f>
        <x:v>Coverage=0.6；Market Expression=6.666666666666667；按固定规则归入 B2</x:v>
      </x:c>
      <x:c r="M4" s="41" t="str">
        <x:f>IF(D4&lt;10,"样本不足，不得作为正式结论",IF(G4=0,"介绍度未验证","正式数据"))</x:f>
        <x:v>正式数据</x:v>
      </x:c>
    </x:row>
    <x:row r="5" ht="34" customHeight="1">
      <x:c r="A5" s="41" t="str">
        <x:v>Content Creators / Streamers</x:v>
      </x:c>
      <x:c r="B5" s="157" t="str">
        <x:v>人群</x:v>
      </x:c>
      <x:c r="C5" s="43" t="n">
        <x:f>'标签覆盖率'!C5</x:f>
        <x:v>6</x:v>
      </x:c>
      <x:c r="D5" s="43" t="n">
        <x:f>'标签覆盖率'!D5</x:f>
        <x:v>10</x:v>
      </x:c>
      <x:c r="E5" s="44" t="n">
        <x:f>'标签覆盖率'!E5</x:f>
        <x:v>0.6</x:v>
      </x:c>
      <x:c r="F5" s="41" t="str">
        <x:f>'标签覆盖率'!F5</x:f>
        <x:v>中覆盖</x:v>
      </x:c>
      <x:c r="G5" s="41" t="n">
        <x:f>COUNTIFS('标签介绍度'!$B$2:$B$172,A5,'标签介绍度'!$O$2:$O$172,"已验证")</x:f>
        <x:v>6</x:v>
      </x:c>
      <x:c r="H5" s="73" t="n">
        <x:f>IF(G5=0,"",AVERAGEIFS('标签介绍度'!$K$2:$K$172,'标签介绍度'!$B$2:$B$172,A5,'标签介绍度'!$O$2:$O$172,"已验证"))</x:f>
        <x:v>1</x:v>
      </x:c>
      <x:c r="I5" s="41" t="str">
        <x:f>IF(G5=0,"未验证",IF(H5&gt;=6,"高介绍",IF(H5&gt;=3,"中介绍","低介绍")))</x:f>
        <x:v>低介绍</x:v>
      </x:c>
      <x:c r="J5" s="41" t="str">
        <x:f>IF(G5=0,"C",IF(AND(E5&gt;=0.8,H5&gt;=6),"A",IF(AND(E5&gt;=0.5,H5&lt;6),"B1",IF(AND(E5&gt;=0.2,E5&lt;0.8,H5&gt;=6),"B2","C"))))</x:f>
        <x:v>B1</x:v>
      </x:c>
      <x:c r="K5" s="41" t="str">
        <x:f>IF(J5="A","必要表达候选",IF(J5="B1","普及但弱介绍",IF(J5="B2","细分强介绍","次级 / 观察")))</x:f>
        <x:v>普及但弱介绍</x:v>
      </x:c>
      <x:c r="L5" s="41" t="str">
        <x:f>"Coverage="&amp;E5&amp;"；Market Expression="&amp;H5&amp;"；按固定规则归入 "&amp;J5</x:f>
        <x:v>Coverage=0.6；Market Expression=1；按固定规则归入 B1</x:v>
      </x:c>
      <x:c r="M5" s="41" t="str">
        <x:f>IF(D5&lt;10,"样本不足，不得作为正式结论",IF(G5=0,"介绍度未验证","正式数据"))</x:f>
        <x:v>正式数据</x:v>
      </x:c>
    </x:row>
    <x:row r="6" ht="34" customHeight="1">
      <x:c r="A6" s="41" t="str">
        <x:v>Comfort Seekers</x:v>
      </x:c>
      <x:c r="B6" s="157" t="str">
        <x:v>人群</x:v>
      </x:c>
      <x:c r="C6" s="43" t="n">
        <x:f>'标签覆盖率'!C6</x:f>
        <x:v>5</x:v>
      </x:c>
      <x:c r="D6" s="43" t="n">
        <x:f>'标签覆盖率'!D6</x:f>
        <x:v>10</x:v>
      </x:c>
      <x:c r="E6" s="44" t="n">
        <x:f>'标签覆盖率'!E6</x:f>
        <x:v>0.5</x:v>
      </x:c>
      <x:c r="F6" s="41" t="str">
        <x:f>'标签覆盖率'!F6</x:f>
        <x:v>中覆盖</x:v>
      </x:c>
      <x:c r="G6" s="41" t="n">
        <x:f>COUNTIFS('标签介绍度'!$B$2:$B$172,A6,'标签介绍度'!$O$2:$O$172,"已验证")</x:f>
        <x:v>5</x:v>
      </x:c>
      <x:c r="H6" s="73" t="n">
        <x:f>IF(G6=0,"",AVERAGEIFS('标签介绍度'!$K$2:$K$172,'标签介绍度'!$B$2:$B$172,A6,'标签介绍度'!$O$2:$O$172,"已验证"))</x:f>
        <x:v>4.6</x:v>
      </x:c>
      <x:c r="I6" s="41" t="str">
        <x:f>IF(G6=0,"未验证",IF(H6&gt;=6,"高介绍",IF(H6&gt;=3,"中介绍","低介绍")))</x:f>
        <x:v>中介绍</x:v>
      </x:c>
      <x:c r="J6" s="41" t="str">
        <x:f>IF(G6=0,"C",IF(AND(E6&gt;=0.8,H6&gt;=6),"A",IF(AND(E6&gt;=0.5,H6&lt;6),"B1",IF(AND(E6&gt;=0.2,E6&lt;0.8,H6&gt;=6),"B2","C"))))</x:f>
        <x:v>B1</x:v>
      </x:c>
      <x:c r="K6" s="41" t="str">
        <x:f>IF(J6="A","必要表达候选",IF(J6="B1","普及但弱介绍",IF(J6="B2","细分强介绍","次级 / 观察")))</x:f>
        <x:v>普及但弱介绍</x:v>
      </x:c>
      <x:c r="L6" s="41" t="str">
        <x:f>"Coverage="&amp;E6&amp;"；Market Expression="&amp;H6&amp;"；按固定规则归入 "&amp;J6</x:f>
        <x:v>Coverage=0.5；Market Expression=4.6；按固定规则归入 B1</x:v>
      </x:c>
      <x:c r="M6" s="41" t="str">
        <x:f>IF(D6&lt;10,"样本不足，不得作为正式结论",IF(G6=0,"介绍度未验证","正式数据"))</x:f>
        <x:v>正式数据</x:v>
      </x:c>
    </x:row>
    <x:row r="7" ht="34" customHeight="1">
      <x:c r="A7" s="41" t="str">
        <x:v>Remote Workers</x:v>
      </x:c>
      <x:c r="B7" s="157" t="str">
        <x:v>人群</x:v>
      </x:c>
      <x:c r="C7" s="43" t="n">
        <x:f>'标签覆盖率'!C7</x:f>
        <x:v>5</x:v>
      </x:c>
      <x:c r="D7" s="43" t="n">
        <x:f>'标签覆盖率'!D7</x:f>
        <x:v>10</x:v>
      </x:c>
      <x:c r="E7" s="44" t="n">
        <x:f>'标签覆盖率'!E7</x:f>
        <x:v>0.5</x:v>
      </x:c>
      <x:c r="F7" s="41" t="str">
        <x:f>'标签覆盖率'!F7</x:f>
        <x:v>中覆盖</x:v>
      </x:c>
      <x:c r="G7" s="41" t="n">
        <x:f>COUNTIFS('标签介绍度'!$B$2:$B$172,A7,'标签介绍度'!$O$2:$O$172,"已验证")</x:f>
        <x:v>5</x:v>
      </x:c>
      <x:c r="H7" s="73" t="n">
        <x:f>IF(G7=0,"",AVERAGEIFS('标签介绍度'!$K$2:$K$172,'标签介绍度'!$B$2:$B$172,A7,'标签介绍度'!$O$2:$O$172,"已验证"))</x:f>
        <x:v>0.4</x:v>
      </x:c>
      <x:c r="I7" s="41" t="str">
        <x:f>IF(G7=0,"未验证",IF(H7&gt;=6,"高介绍",IF(H7&gt;=3,"中介绍","低介绍")))</x:f>
        <x:v>低介绍</x:v>
      </x:c>
      <x:c r="J7" s="41" t="str">
        <x:f>IF(G7=0,"C",IF(AND(E7&gt;=0.8,H7&gt;=6),"A",IF(AND(E7&gt;=0.5,H7&lt;6),"B1",IF(AND(E7&gt;=0.2,E7&lt;0.8,H7&gt;=6),"B2","C"))))</x:f>
        <x:v>B1</x:v>
      </x:c>
      <x:c r="K7" s="41" t="str">
        <x:f>IF(J7="A","必要表达候选",IF(J7="B1","普及但弱介绍",IF(J7="B2","细分强介绍","次级 / 观察")))</x:f>
        <x:v>普及但弱介绍</x:v>
      </x:c>
      <x:c r="L7" s="41" t="str">
        <x:f>"Coverage="&amp;E7&amp;"；Market Expression="&amp;H7&amp;"；按固定规则归入 "&amp;J7</x:f>
        <x:v>Coverage=0.5；Market Expression=0.4；按固定规则归入 B1</x:v>
      </x:c>
      <x:c r="M7" s="41" t="str">
        <x:f>IF(D7&lt;10,"样本不足，不得作为正式结论",IF(G7=0,"介绍度未验证","正式数据"))</x:f>
        <x:v>正式数据</x:v>
      </x:c>
    </x:row>
    <x:row r="8" ht="34" customHeight="1">
      <x:c r="A8" s="41" t="str">
        <x:v>Students</x:v>
      </x:c>
      <x:c r="B8" s="157" t="str">
        <x:v>人群</x:v>
      </x:c>
      <x:c r="C8" s="43" t="n">
        <x:f>'标签覆盖率'!C8</x:f>
        <x:v>4</x:v>
      </x:c>
      <x:c r="D8" s="43" t="n">
        <x:f>'标签覆盖率'!D8</x:f>
        <x:v>10</x:v>
      </x:c>
      <x:c r="E8" s="44" t="n">
        <x:f>'标签覆盖率'!E8</x:f>
        <x:v>0.4</x:v>
      </x:c>
      <x:c r="F8" s="41" t="str">
        <x:f>'标签覆盖率'!F8</x:f>
        <x:v>低覆盖</x:v>
      </x:c>
      <x:c r="G8" s="41" t="n">
        <x:f>COUNTIFS('标签介绍度'!$B$2:$B$172,A8,'标签介绍度'!$O$2:$O$172,"已验证")</x:f>
        <x:v>4</x:v>
      </x:c>
      <x:c r="H8" s="73" t="n">
        <x:f>IF(G8=0,"",AVERAGEIFS('标签介绍度'!$K$2:$K$172,'标签介绍度'!$B$2:$B$172,A8,'标签介绍度'!$O$2:$O$172,"已验证"))</x:f>
        <x:v>0.5</x:v>
      </x:c>
      <x:c r="I8" s="41" t="str">
        <x:f>IF(G8=0,"未验证",IF(H8&gt;=6,"高介绍",IF(H8&gt;=3,"中介绍","低介绍")))</x:f>
        <x:v>低介绍</x:v>
      </x:c>
      <x:c r="J8" s="41" t="str">
        <x:f>IF(G8=0,"C",IF(AND(E8&gt;=0.8,H8&gt;=6),"A",IF(AND(E8&gt;=0.5,H8&lt;6),"B1",IF(AND(E8&gt;=0.2,E8&lt;0.8,H8&gt;=6),"B2","C"))))</x:f>
        <x:v>C</x:v>
      </x:c>
      <x:c r="K8" s="41" t="str">
        <x:f>IF(J8="A","必要表达候选",IF(J8="B1","普及但弱介绍",IF(J8="B2","细分强介绍","次级 / 观察")))</x:f>
        <x:v>次级 / 观察</x:v>
      </x:c>
      <x:c r="L8" s="41" t="str">
        <x:f>"Coverage="&amp;E8&amp;"；Market Expression="&amp;H8&amp;"；按固定规则归入 "&amp;J8</x:f>
        <x:v>Coverage=0.4；Market Expression=0.5；按固定规则归入 C</x:v>
      </x:c>
      <x:c r="M8" s="41" t="str">
        <x:f>IF(D8&lt;10,"样本不足，不得作为正式结论",IF(G8=0,"介绍度未验证","正式数据"))</x:f>
        <x:v>正式数据</x:v>
      </x:c>
    </x:row>
    <x:row r="9" ht="34" customHeight="1">
      <x:c r="A9" s="41" t="str">
        <x:v>Back Support Seekers</x:v>
      </x:c>
      <x:c r="B9" s="157" t="str">
        <x:v>人群</x:v>
      </x:c>
      <x:c r="C9" s="43" t="n">
        <x:f>'标签覆盖率'!C9</x:f>
        <x:v>3</x:v>
      </x:c>
      <x:c r="D9" s="43" t="n">
        <x:f>'标签覆盖率'!D9</x:f>
        <x:v>10</x:v>
      </x:c>
      <x:c r="E9" s="44" t="n">
        <x:f>'标签覆盖率'!E9</x:f>
        <x:v>0.3</x:v>
      </x:c>
      <x:c r="F9" s="41" t="str">
        <x:f>'标签覆盖率'!F9</x:f>
        <x:v>低覆盖</x:v>
      </x:c>
      <x:c r="G9" s="41" t="n">
        <x:f>COUNTIFS('标签介绍度'!$B$2:$B$172,A9,'标签介绍度'!$O$2:$O$172,"已验证")</x:f>
        <x:v>3</x:v>
      </x:c>
      <x:c r="H9" s="73" t="n">
        <x:f>IF(G9=0,"",AVERAGEIFS('标签介绍度'!$K$2:$K$172,'标签介绍度'!$B$2:$B$172,A9,'标签介绍度'!$O$2:$O$172,"已验证"))</x:f>
        <x:v>4.666666666666667</x:v>
      </x:c>
      <x:c r="I9" s="41" t="str">
        <x:f>IF(G9=0,"未验证",IF(H9&gt;=6,"高介绍",IF(H9&gt;=3,"中介绍","低介绍")))</x:f>
        <x:v>中介绍</x:v>
      </x:c>
      <x:c r="J9" s="41" t="str">
        <x:f>IF(G9=0,"C",IF(AND(E9&gt;=0.8,H9&gt;=6),"A",IF(AND(E9&gt;=0.5,H9&lt;6),"B1",IF(AND(E9&gt;=0.2,E9&lt;0.8,H9&gt;=6),"B2","C"))))</x:f>
        <x:v>C</x:v>
      </x:c>
      <x:c r="K9" s="41" t="str">
        <x:f>IF(J9="A","必要表达候选",IF(J9="B1","普及但弱介绍",IF(J9="B2","细分强介绍","次级 / 观察")))</x:f>
        <x:v>次级 / 观察</x:v>
      </x:c>
      <x:c r="L9" s="41" t="str">
        <x:f>"Coverage="&amp;E9&amp;"；Market Expression="&amp;H9&amp;"；按固定规则归入 "&amp;J9</x:f>
        <x:v>Coverage=0.3；Market Expression=4.666666666666667；按固定规则归入 C</x:v>
      </x:c>
      <x:c r="M9" s="41" t="str">
        <x:f>IF(D9&lt;10,"样本不足，不得作为正式结论",IF(G9=0,"介绍度未验证","正式数据"))</x:f>
        <x:v>正式数据</x:v>
      </x:c>
    </x:row>
    <x:row r="10" ht="34" customHeight="1">
      <x:c r="A10" s="41" t="str">
        <x:v>Relaxation Seekers</x:v>
      </x:c>
      <x:c r="B10" s="157" t="str">
        <x:v>人群</x:v>
      </x:c>
      <x:c r="C10" s="43" t="n">
        <x:f>'标签覆盖率'!C10</x:f>
        <x:v>2</x:v>
      </x:c>
      <x:c r="D10" s="43" t="n">
        <x:f>'标签覆盖率'!D10</x:f>
        <x:v>10</x:v>
      </x:c>
      <x:c r="E10" s="44" t="n">
        <x:f>'标签覆盖率'!E10</x:f>
        <x:v>0.2</x:v>
      </x:c>
      <x:c r="F10" s="41" t="str">
        <x:f>'标签覆盖率'!F10</x:f>
        <x:v>低覆盖</x:v>
      </x:c>
      <x:c r="G10" s="41" t="n">
        <x:f>COUNTIFS('标签介绍度'!$B$2:$B$172,A10,'标签介绍度'!$O$2:$O$172,"已验证")</x:f>
        <x:v>2</x:v>
      </x:c>
      <x:c r="H10" s="73" t="n">
        <x:f>IF(G10=0,"",AVERAGEIFS('标签介绍度'!$K$2:$K$172,'标签介绍度'!$B$2:$B$172,A10,'标签介绍度'!$O$2:$O$172,"已验证"))</x:f>
        <x:v>5</x:v>
      </x:c>
      <x:c r="I10" s="41" t="str">
        <x:f>IF(G10=0,"未验证",IF(H10&gt;=6,"高介绍",IF(H10&gt;=3,"中介绍","低介绍")))</x:f>
        <x:v>中介绍</x:v>
      </x:c>
      <x:c r="J10" s="41" t="str">
        <x:f>IF(G10=0,"C",IF(AND(E10&gt;=0.8,H10&gt;=6),"A",IF(AND(E10&gt;=0.5,H10&lt;6),"B1",IF(AND(E10&gt;=0.2,E10&lt;0.8,H10&gt;=6),"B2","C"))))</x:f>
        <x:v>C</x:v>
      </x:c>
      <x:c r="K10" s="41" t="str">
        <x:f>IF(J10="A","必要表达候选",IF(J10="B1","普及但弱介绍",IF(J10="B2","细分强介绍","次级 / 观察")))</x:f>
        <x:v>次级 / 观察</x:v>
      </x:c>
      <x:c r="L10" s="41" t="str">
        <x:f>"Coverage="&amp;E10&amp;"；Market Expression="&amp;H10&amp;"；按固定规则归入 "&amp;J10</x:f>
        <x:v>Coverage=0.2；Market Expression=5；按固定规则归入 C</x:v>
      </x:c>
      <x:c r="M10" s="41" t="str">
        <x:f>IF(D10&lt;10,"样本不足，不得作为正式结论",IF(G10=0,"介绍度未验证","正式数据"))</x:f>
        <x:v>正式数据</x:v>
      </x:c>
    </x:row>
    <x:row r="11" ht="34" customHeight="1">
      <x:c r="A11" s="41" t="str">
        <x:v>Teens / Young Adults</x:v>
      </x:c>
      <x:c r="B11" s="157" t="str">
        <x:v>人群</x:v>
      </x:c>
      <x:c r="C11" s="43" t="n">
        <x:f>'标签覆盖率'!C11</x:f>
        <x:v>2</x:v>
      </x:c>
      <x:c r="D11" s="43" t="n">
        <x:f>'标签覆盖率'!D11</x:f>
        <x:v>10</x:v>
      </x:c>
      <x:c r="E11" s="44" t="n">
        <x:f>'标签覆盖率'!E11</x:f>
        <x:v>0.2</x:v>
      </x:c>
      <x:c r="F11" s="41" t="str">
        <x:f>'标签覆盖率'!F11</x:f>
        <x:v>低覆盖</x:v>
      </x:c>
      <x:c r="G11" s="41" t="n">
        <x:f>COUNTIFS('标签介绍度'!$B$2:$B$172,A11,'标签介绍度'!$O$2:$O$172,"已验证")</x:f>
        <x:v>2</x:v>
      </x:c>
      <x:c r="H11" s="73" t="n">
        <x:f>IF(G11=0,"",AVERAGEIFS('标签介绍度'!$K$2:$K$172,'标签介绍度'!$B$2:$B$172,A11,'标签介绍度'!$O$2:$O$172,"已验证"))</x:f>
        <x:v>0.5</x:v>
      </x:c>
      <x:c r="I11" s="41" t="str">
        <x:f>IF(G11=0,"未验证",IF(H11&gt;=6,"高介绍",IF(H11&gt;=3,"中介绍","低介绍")))</x:f>
        <x:v>低介绍</x:v>
      </x:c>
      <x:c r="J11" s="41" t="str">
        <x:f>IF(G11=0,"C",IF(AND(E11&gt;=0.8,H11&gt;=6),"A",IF(AND(E11&gt;=0.5,H11&lt;6),"B1",IF(AND(E11&gt;=0.2,E11&lt;0.8,H11&gt;=6),"B2","C"))))</x:f>
        <x:v>C</x:v>
      </x:c>
      <x:c r="K11" s="41" t="str">
        <x:f>IF(J11="A","必要表达候选",IF(J11="B1","普及但弱介绍",IF(J11="B2","细分强介绍","次级 / 观察")))</x:f>
        <x:v>次级 / 观察</x:v>
      </x:c>
      <x:c r="L11" s="41" t="str">
        <x:f>"Coverage="&amp;E11&amp;"；Market Expression="&amp;H11&amp;"；按固定规则归入 "&amp;J11</x:f>
        <x:v>Coverage=0.2；Market Expression=0.5；按固定规则归入 C</x:v>
      </x:c>
      <x:c r="M11" s="41" t="str">
        <x:f>IF(D11&lt;10,"样本不足，不得作为正式结论",IF(G11=0,"介绍度未验证","正式数据"))</x:f>
        <x:v>正式数据</x:v>
      </x:c>
    </x:row>
    <x:row r="12" ht="34" customHeight="1">
      <x:c r="A12" s="41" t="str">
        <x:v>Budget-Conscious Buyers</x:v>
      </x:c>
      <x:c r="B12" s="157" t="str">
        <x:v>人群</x:v>
      </x:c>
      <x:c r="C12" s="43" t="n">
        <x:f>'标签覆盖率'!C12</x:f>
        <x:v>1</x:v>
      </x:c>
      <x:c r="D12" s="43" t="n">
        <x:f>'标签覆盖率'!D12</x:f>
        <x:v>10</x:v>
      </x:c>
      <x:c r="E12" s="44" t="n">
        <x:f>'标签覆盖率'!E12</x:f>
        <x:v>0.1</x:v>
      </x:c>
      <x:c r="F12" s="41" t="str">
        <x:f>'标签覆盖率'!F12</x:f>
        <x:v>极低覆盖</x:v>
      </x:c>
      <x:c r="G12" s="41" t="n">
        <x:f>COUNTIFS('标签介绍度'!$B$2:$B$172,A12,'标签介绍度'!$O$2:$O$172,"已验证")</x:f>
        <x:v>1</x:v>
      </x:c>
      <x:c r="H12" s="73" t="n">
        <x:f>IF(G12=0,"",AVERAGEIFS('标签介绍度'!$K$2:$K$172,'标签介绍度'!$B$2:$B$172,A12,'标签介绍度'!$O$2:$O$172,"已验证"))</x:f>
        <x:v>0</x:v>
      </x:c>
      <x:c r="I12" s="41" t="str">
        <x:f>IF(G12=0,"未验证",IF(H12&gt;=6,"高介绍",IF(H12&gt;=3,"中介绍","低介绍")))</x:f>
        <x:v>低介绍</x:v>
      </x:c>
      <x:c r="J12" s="41" t="str">
        <x:f>IF(G12=0,"C",IF(AND(E12&gt;=0.8,H12&gt;=6),"A",IF(AND(E12&gt;=0.5,H12&lt;6),"B1",IF(AND(E12&gt;=0.2,E12&lt;0.8,H12&gt;=6),"B2","C"))))</x:f>
        <x:v>C</x:v>
      </x:c>
      <x:c r="K12" s="41" t="str">
        <x:f>IF(J12="A","必要表达候选",IF(J12="B1","普及但弱介绍",IF(J12="B2","细分强介绍","次级 / 观察")))</x:f>
        <x:v>次级 / 观察</x:v>
      </x:c>
      <x:c r="L12" s="41" t="str">
        <x:f>"Coverage="&amp;E12&amp;"；Market Expression="&amp;H12&amp;"；按固定规则归入 "&amp;J12</x:f>
        <x:v>Coverage=0.1；Market Expression=0；按固定规则归入 C</x:v>
      </x:c>
      <x:c r="M12" s="41" t="str">
        <x:f>IF(D12&lt;10,"样本不足，不得作为正式结论",IF(G12=0,"介绍度未验证","正式数据"))</x:f>
        <x:v>正式数据</x:v>
      </x:c>
    </x:row>
    <x:row r="13" ht="34" customHeight="1">
      <x:c r="A13" s="41" t="str">
        <x:v>Health-Feature Seekers</x:v>
      </x:c>
      <x:c r="B13" s="157" t="str">
        <x:v>人群</x:v>
      </x:c>
      <x:c r="C13" s="43" t="n">
        <x:f>'标签覆盖率'!C13</x:f>
        <x:v>1</x:v>
      </x:c>
      <x:c r="D13" s="43" t="n">
        <x:f>'标签覆盖率'!D13</x:f>
        <x:v>10</x:v>
      </x:c>
      <x:c r="E13" s="44" t="n">
        <x:f>'标签覆盖率'!E13</x:f>
        <x:v>0.1</x:v>
      </x:c>
      <x:c r="F13" s="41" t="str">
        <x:f>'标签覆盖率'!F13</x:f>
        <x:v>极低覆盖</x:v>
      </x:c>
      <x:c r="G13" s="41" t="n">
        <x:f>COUNTIFS('标签介绍度'!$B$2:$B$172,A13,'标签介绍度'!$O$2:$O$172,"已验证")</x:f>
        <x:v>1</x:v>
      </x:c>
      <x:c r="H13" s="73" t="n">
        <x:f>IF(G13=0,"",AVERAGEIFS('标签介绍度'!$K$2:$K$172,'标签介绍度'!$B$2:$B$172,A13,'标签介绍度'!$O$2:$O$172,"已验证"))</x:f>
        <x:v>6</x:v>
      </x:c>
      <x:c r="I13" s="41" t="str">
        <x:f>IF(G13=0,"未验证",IF(H13&gt;=6,"高介绍",IF(H13&gt;=3,"中介绍","低介绍")))</x:f>
        <x:v>高介绍</x:v>
      </x:c>
      <x:c r="J13" s="41" t="str">
        <x:f>IF(G13=0,"C",IF(AND(E13&gt;=0.8,H13&gt;=6),"A",IF(AND(E13&gt;=0.5,H13&lt;6),"B1",IF(AND(E13&gt;=0.2,E13&lt;0.8,H13&gt;=6),"B2","C"))))</x:f>
        <x:v>C</x:v>
      </x:c>
      <x:c r="K13" s="41" t="str">
        <x:f>IF(J13="A","必要表达候选",IF(J13="B1","普及但弱介绍",IF(J13="B2","细分强介绍","次级 / 观察")))</x:f>
        <x:v>次级 / 观察</x:v>
      </x:c>
      <x:c r="L13" s="41" t="str">
        <x:f>"Coverage="&amp;E13&amp;"；Market Expression="&amp;H13&amp;"；按固定规则归入 "&amp;J13</x:f>
        <x:v>Coverage=0.1；Market Expression=6；按固定规则归入 C</x:v>
      </x:c>
      <x:c r="M13" s="41" t="str">
        <x:f>IF(D13&lt;10,"样本不足，不得作为正式结论",IF(G13=0,"介绍度未验证","正式数据"))</x:f>
        <x:v>正式数据</x:v>
      </x:c>
    </x:row>
    <x:row r="14" ht="34" customHeight="1">
      <x:c r="A14" s="41" t="str">
        <x:v>Quiet-Mobility Seekers</x:v>
      </x:c>
      <x:c r="B14" s="157" t="str">
        <x:v>人群</x:v>
      </x:c>
      <x:c r="C14" s="43" t="n">
        <x:f>'标签覆盖率'!C14</x:f>
        <x:v>1</x:v>
      </x:c>
      <x:c r="D14" s="43" t="n">
        <x:f>'标签覆盖率'!D14</x:f>
        <x:v>10</x:v>
      </x:c>
      <x:c r="E14" s="44" t="n">
        <x:f>'标签覆盖率'!E14</x:f>
        <x:v>0.1</x:v>
      </x:c>
      <x:c r="F14" s="41" t="str">
        <x:f>'标签覆盖率'!F14</x:f>
        <x:v>极低覆盖</x:v>
      </x:c>
      <x:c r="G14" s="41" t="n">
        <x:f>COUNTIFS('标签介绍度'!$B$2:$B$172,A14,'标签介绍度'!$O$2:$O$172,"已验证")</x:f>
        <x:v>1</x:v>
      </x:c>
      <x:c r="H14" s="73" t="n">
        <x:f>IF(G14=0,"",AVERAGEIFS('标签介绍度'!$K$2:$K$172,'标签介绍度'!$B$2:$B$172,A14,'标签介绍度'!$O$2:$O$172,"已验证"))</x:f>
        <x:v>1</x:v>
      </x:c>
      <x:c r="I14" s="41" t="str">
        <x:f>IF(G14=0,"未验证",IF(H14&gt;=6,"高介绍",IF(H14&gt;=3,"中介绍","低介绍")))</x:f>
        <x:v>低介绍</x:v>
      </x:c>
      <x:c r="J14" s="41" t="str">
        <x:f>IF(G14=0,"C",IF(AND(E14&gt;=0.8,H14&gt;=6),"A",IF(AND(E14&gt;=0.5,H14&lt;6),"B1",IF(AND(E14&gt;=0.2,E14&lt;0.8,H14&gt;=6),"B2","C"))))</x:f>
        <x:v>C</x:v>
      </x:c>
      <x:c r="K14" s="41" t="str">
        <x:f>IF(J14="A","必要表达候选",IF(J14="B1","普及但弱介绍",IF(J14="B2","细分强介绍","次级 / 观察")))</x:f>
        <x:v>次级 / 观察</x:v>
      </x:c>
      <x:c r="L14" s="41" t="str">
        <x:f>"Coverage="&amp;E14&amp;"；Market Expression="&amp;H14&amp;"；按固定规则归入 "&amp;J14</x:f>
        <x:v>Coverage=0.1；Market Expression=1；按固定规则归入 C</x:v>
      </x:c>
      <x:c r="M14" s="41" t="str">
        <x:f>IF(D14&lt;10,"样本不足，不得作为正式结论",IF(G14=0,"介绍度未验证","正式数据"))</x:f>
        <x:v>正式数据</x:v>
      </x:c>
    </x:row>
    <x:row r="15" ht="34" customHeight="1">
      <x:c r="A15" s="41" t="str">
        <x:v>Readers</x:v>
      </x:c>
      <x:c r="B15" s="157" t="str">
        <x:v>人群</x:v>
      </x:c>
      <x:c r="C15" s="43" t="n">
        <x:f>'标签覆盖率'!C15</x:f>
        <x:v>1</x:v>
      </x:c>
      <x:c r="D15" s="43" t="n">
        <x:f>'标签覆盖率'!D15</x:f>
        <x:v>10</x:v>
      </x:c>
      <x:c r="E15" s="44" t="n">
        <x:f>'标签覆盖率'!E15</x:f>
        <x:v>0.1</x:v>
      </x:c>
      <x:c r="F15" s="41" t="str">
        <x:f>'标签覆盖率'!F15</x:f>
        <x:v>极低覆盖</x:v>
      </x:c>
      <x:c r="G15" s="41" t="n">
        <x:f>COUNTIFS('标签介绍度'!$B$2:$B$172,A15,'标签介绍度'!$O$2:$O$172,"已验证")</x:f>
        <x:v>1</x:v>
      </x:c>
      <x:c r="H15" s="73" t="n">
        <x:f>IF(G15=0,"",AVERAGEIFS('标签介绍度'!$K$2:$K$172,'标签介绍度'!$B$2:$B$172,A15,'标签介绍度'!$O$2:$O$172,"已验证"))</x:f>
        <x:v>0</x:v>
      </x:c>
      <x:c r="I15" s="41" t="str">
        <x:f>IF(G15=0,"未验证",IF(H15&gt;=6,"高介绍",IF(H15&gt;=3,"中介绍","低介绍")))</x:f>
        <x:v>低介绍</x:v>
      </x:c>
      <x:c r="J15" s="41" t="str">
        <x:f>IF(G15=0,"C",IF(AND(E15&gt;=0.8,H15&gt;=6),"A",IF(AND(E15&gt;=0.5,H15&lt;6),"B1",IF(AND(E15&gt;=0.2,E15&lt;0.8,H15&gt;=6),"B2","C"))))</x:f>
        <x:v>C</x:v>
      </x:c>
      <x:c r="K15" s="41" t="str">
        <x:f>IF(J15="A","必要表达候选",IF(J15="B1","普及但弱介绍",IF(J15="B2","细分强介绍","次级 / 观察")))</x:f>
        <x:v>次级 / 观察</x:v>
      </x:c>
      <x:c r="L15" s="41" t="str">
        <x:f>"Coverage="&amp;E15&amp;"；Market Expression="&amp;H15&amp;"；按固定规则归入 "&amp;J15</x:f>
        <x:v>Coverage=0.1；Market Expression=0；按固定规则归入 C</x:v>
      </x:c>
      <x:c r="M15" s="41" t="str">
        <x:f>IF(D15&lt;10,"样本不足，不得作为正式结论",IF(G15=0,"介绍度未验证","正式数据"))</x:f>
        <x:v>正式数据</x:v>
      </x:c>
    </x:row>
    <x:row r="16" ht="34" customHeight="1">
      <x:c r="A16" s="41" t="str">
        <x:v>Small-Framed Users</x:v>
      </x:c>
      <x:c r="B16" s="157" t="str">
        <x:v>人群</x:v>
      </x:c>
      <x:c r="C16" s="43" t="n">
        <x:f>'标签覆盖率'!C16</x:f>
        <x:v>1</x:v>
      </x:c>
      <x:c r="D16" s="43" t="n">
        <x:f>'标签覆盖率'!D16</x:f>
        <x:v>10</x:v>
      </x:c>
      <x:c r="E16" s="44" t="n">
        <x:f>'标签覆盖率'!E16</x:f>
        <x:v>0.1</x:v>
      </x:c>
      <x:c r="F16" s="41" t="str">
        <x:f>'标签覆盖率'!F16</x:f>
        <x:v>极低覆盖</x:v>
      </x:c>
      <x:c r="G16" s="41" t="n">
        <x:f>COUNTIFS('标签介绍度'!$B$2:$B$172,A16,'标签介绍度'!$O$2:$O$172,"已验证")</x:f>
        <x:v>1</x:v>
      </x:c>
      <x:c r="H16" s="73" t="n">
        <x:f>IF(G16=0,"",AVERAGEIFS('标签介绍度'!$K$2:$K$172,'标签介绍度'!$B$2:$B$172,A16,'标签介绍度'!$O$2:$O$172,"已验证"))</x:f>
        <x:v>3</x:v>
      </x:c>
      <x:c r="I16" s="41" t="str">
        <x:f>IF(G16=0,"未验证",IF(H16&gt;=6,"高介绍",IF(H16&gt;=3,"中介绍","低介绍")))</x:f>
        <x:v>中介绍</x:v>
      </x:c>
      <x:c r="J16" s="41" t="str">
        <x:f>IF(G16=0,"C",IF(AND(E16&gt;=0.8,H16&gt;=6),"A",IF(AND(E16&gt;=0.5,H16&lt;6),"B1",IF(AND(E16&gt;=0.2,E16&lt;0.8,H16&gt;=6),"B2","C"))))</x:f>
        <x:v>C</x:v>
      </x:c>
      <x:c r="K16" s="41" t="str">
        <x:f>IF(J16="A","必要表达候选",IF(J16="B1","普及但弱介绍",IF(J16="B2","细分强介绍","次级 / 观察")))</x:f>
        <x:v>次级 / 观察</x:v>
      </x:c>
      <x:c r="L16" s="41" t="str">
        <x:f>"Coverage="&amp;E16&amp;"；Market Expression="&amp;H16&amp;"；按固定规则归入 "&amp;J16</x:f>
        <x:v>Coverage=0.1；Market Expression=3；按固定规则归入 C</x:v>
      </x:c>
      <x:c r="M16" s="41" t="str">
        <x:f>IF(D16&lt;10,"样本不足，不得作为正式结论",IF(G16=0,"介绍度未验证","正式数据"))</x:f>
        <x:v>正式数据</x:v>
      </x:c>
    </x:row>
    <x:row r="17" ht="34" customHeight="1">
      <x:c r="A17" s="41" t="str">
        <x:v>Style-Conscious Users</x:v>
      </x:c>
      <x:c r="B17" s="157" t="str">
        <x:v>人群</x:v>
      </x:c>
      <x:c r="C17" s="43" t="n">
        <x:f>'标签覆盖率'!C17</x:f>
        <x:v>1</x:v>
      </x:c>
      <x:c r="D17" s="43" t="n">
        <x:f>'标签覆盖率'!D17</x:f>
        <x:v>10</x:v>
      </x:c>
      <x:c r="E17" s="44" t="n">
        <x:f>'标签覆盖率'!E17</x:f>
        <x:v>0.1</x:v>
      </x:c>
      <x:c r="F17" s="41" t="str">
        <x:f>'标签覆盖率'!F17</x:f>
        <x:v>极低覆盖</x:v>
      </x:c>
      <x:c r="G17" s="41" t="n">
        <x:f>COUNTIFS('标签介绍度'!$B$2:$B$172,A17,'标签介绍度'!$O$2:$O$172,"已验证")</x:f>
        <x:v>1</x:v>
      </x:c>
      <x:c r="H17" s="73" t="n">
        <x:f>IF(G17=0,"",AVERAGEIFS('标签介绍度'!$K$2:$K$172,'标签介绍度'!$B$2:$B$172,A17,'标签介绍度'!$O$2:$O$172,"已验证"))</x:f>
        <x:v>10</x:v>
      </x:c>
      <x:c r="I17" s="41" t="str">
        <x:f>IF(G17=0,"未验证",IF(H17&gt;=6,"高介绍",IF(H17&gt;=3,"中介绍","低介绍")))</x:f>
        <x:v>高介绍</x:v>
      </x:c>
      <x:c r="J17" s="41" t="str">
        <x:f>IF(G17=0,"C",IF(AND(E17&gt;=0.8,H17&gt;=6),"A",IF(AND(E17&gt;=0.5,H17&lt;6),"B1",IF(AND(E17&gt;=0.2,E17&lt;0.8,H17&gt;=6),"B2","C"))))</x:f>
        <x:v>C</x:v>
      </x:c>
      <x:c r="K17" s="41" t="str">
        <x:f>IF(J17="A","必要表达候选",IF(J17="B1","普及但弱介绍",IF(J17="B2","细分强介绍","次级 / 观察")))</x:f>
        <x:v>次级 / 观察</x:v>
      </x:c>
      <x:c r="L17" s="41" t="str">
        <x:f>"Coverage="&amp;E17&amp;"；Market Expression="&amp;H17&amp;"；按固定规则归入 "&amp;J17</x:f>
        <x:v>Coverage=0.1；Market Expression=10；按固定规则归入 C</x:v>
      </x:c>
      <x:c r="M17" s="41" t="str">
        <x:f>IF(D17&lt;10,"样本不足，不得作为正式结论",IF(G17=0,"介绍度未验证","正式数据"))</x:f>
        <x:v>正式数据</x:v>
      </x:c>
    </x:row>
    <x:row r="18" ht="34" customHeight="1">
      <x:c r="A18" s="53" t="str">
        <x:v>Entertainment / Leisure Space</x:v>
      </x:c>
      <x:c r="B18" s="159" t="str">
        <x:v>场景</x:v>
      </x:c>
      <x:c r="C18" s="55" t="n">
        <x:f>'标签覆盖率'!C18</x:f>
        <x:v>10</x:v>
      </x:c>
      <x:c r="D18" s="55" t="n">
        <x:f>'标签覆盖率'!D18</x:f>
        <x:v>10</x:v>
      </x:c>
      <x:c r="E18" s="56" t="n">
        <x:f>'标签覆盖率'!E18</x:f>
        <x:v>1</x:v>
      </x:c>
      <x:c r="F18" s="53" t="str">
        <x:f>'标签覆盖率'!F18</x:f>
        <x:v>Absolute Consensus / 全竞品共识</x:v>
      </x:c>
      <x:c r="G18" s="53" t="n">
        <x:f>COUNTIFS('标签介绍度'!$B$2:$B$172,A18,'标签介绍度'!$O$2:$O$172,"已验证")</x:f>
        <x:v>10</x:v>
      </x:c>
      <x:c r="H18" s="76" t="n">
        <x:f>IF(G18=0,"",AVERAGEIFS('标签介绍度'!$K$2:$K$172,'标签介绍度'!$B$2:$B$172,A18,'标签介绍度'!$O$2:$O$172,"已验证"))</x:f>
        <x:v>2.1</x:v>
      </x:c>
      <x:c r="I18" s="53" t="str">
        <x:f>IF(G18=0,"未验证",IF(H18&gt;=6,"高介绍",IF(H18&gt;=3,"中介绍","低介绍")))</x:f>
        <x:v>低介绍</x:v>
      </x:c>
      <x:c r="J18" s="53" t="str">
        <x:f>IF(G18=0,"C",IF(AND(E18&gt;=0.8,H18&gt;=6),"A",IF(AND(E18&gt;=0.5,H18&lt;6),"B1",IF(AND(E18&gt;=0.2,E18&lt;0.8,H18&gt;=6),"B2","C"))))</x:f>
        <x:v>B1</x:v>
      </x:c>
      <x:c r="K18" s="53" t="str">
        <x:f>IF(J18="A","必要表达候选",IF(J18="B1","普及但弱介绍",IF(J18="B2","细分强介绍","次级 / 观察")))</x:f>
        <x:v>普及但弱介绍</x:v>
      </x:c>
      <x:c r="L18" s="53" t="str">
        <x:f>"Coverage="&amp;E18&amp;"；Market Expression="&amp;H18&amp;"；按固定规则归入 "&amp;J18</x:f>
        <x:v>Coverage=1；Market Expression=2.1；按固定规则归入 B1</x:v>
      </x:c>
      <x:c r="M18" s="53" t="str">
        <x:f>IF(D18&lt;10,"样本不足，不得作为正式结论",IF(G18=0,"介绍度未验证","正式数据"))</x:f>
        <x:v>正式数据</x:v>
      </x:c>
    </x:row>
    <x:row r="19" ht="34" customHeight="1">
      <x:c r="A19" s="49" t="str">
        <x:v>Gaming Room / Setup</x:v>
      </x:c>
      <x:c r="B19" s="161" t="str">
        <x:v>场景</x:v>
      </x:c>
      <x:c r="C19" s="51" t="n">
        <x:f>'标签覆盖率'!C19</x:f>
        <x:v>10</x:v>
      </x:c>
      <x:c r="D19" s="51" t="n">
        <x:f>'标签覆盖率'!D19</x:f>
        <x:v>10</x:v>
      </x:c>
      <x:c r="E19" s="52" t="n">
        <x:f>'标签覆盖率'!E19</x:f>
        <x:v>1</x:v>
      </x:c>
      <x:c r="F19" s="49" t="str">
        <x:f>'标签覆盖率'!F19</x:f>
        <x:v>Absolute Consensus / 全竞品共识</x:v>
      </x:c>
      <x:c r="G19" s="49" t="n">
        <x:f>COUNTIFS('标签介绍度'!$B$2:$B$172,A19,'标签介绍度'!$O$2:$O$172,"已验证")</x:f>
        <x:v>10</x:v>
      </x:c>
      <x:c r="H19" s="75" t="n">
        <x:f>IF(G19=0,"",AVERAGEIFS('标签介绍度'!$K$2:$K$172,'标签介绍度'!$B$2:$B$172,A19,'标签介绍度'!$O$2:$O$172,"已验证"))</x:f>
        <x:v>1.4</x:v>
      </x:c>
      <x:c r="I19" s="49" t="str">
        <x:f>IF(G19=0,"未验证",IF(H19&gt;=6,"高介绍",IF(H19&gt;=3,"中介绍","低介绍")))</x:f>
        <x:v>低介绍</x:v>
      </x:c>
      <x:c r="J19" s="49" t="str">
        <x:f>IF(G19=0,"C",IF(AND(E19&gt;=0.8,H19&gt;=6),"A",IF(AND(E19&gt;=0.5,H19&lt;6),"B1",IF(AND(E19&gt;=0.2,E19&lt;0.8,H19&gt;=6),"B2","C"))))</x:f>
        <x:v>B1</x:v>
      </x:c>
      <x:c r="K19" s="49" t="str">
        <x:f>IF(J19="A","必要表达候选",IF(J19="B1","普及但弱介绍",IF(J19="B2","细分强介绍","次级 / 观察")))</x:f>
        <x:v>普及但弱介绍</x:v>
      </x:c>
      <x:c r="L19" s="49" t="str">
        <x:f>"Coverage="&amp;E19&amp;"；Market Expression="&amp;H19&amp;"；按固定规则归入 "&amp;J19</x:f>
        <x:v>Coverage=1；Market Expression=1.4；按固定规则归入 B1</x:v>
      </x:c>
      <x:c r="M19" s="49" t="str">
        <x:f>IF(D19&lt;10,"样本不足，不得作为正式结论",IF(G19=0,"介绍度未验证","正式数据"))</x:f>
        <x:v>正式数据</x:v>
      </x:c>
    </x:row>
    <x:row r="20" ht="34" customHeight="1">
      <x:c r="A20" s="49" t="str">
        <x:v>Office / Workspace</x:v>
      </x:c>
      <x:c r="B20" s="161" t="str">
        <x:v>场景</x:v>
      </x:c>
      <x:c r="C20" s="51" t="n">
        <x:f>'标签覆盖率'!C20</x:f>
        <x:v>10</x:v>
      </x:c>
      <x:c r="D20" s="51" t="n">
        <x:f>'标签覆盖率'!D20</x:f>
        <x:v>10</x:v>
      </x:c>
      <x:c r="E20" s="52" t="n">
        <x:f>'标签覆盖率'!E20</x:f>
        <x:v>1</x:v>
      </x:c>
      <x:c r="F20" s="49" t="str">
        <x:f>'标签覆盖率'!F20</x:f>
        <x:v>Absolute Consensus / 全竞品共识</x:v>
      </x:c>
      <x:c r="G20" s="49" t="n">
        <x:f>COUNTIFS('标签介绍度'!$B$2:$B$172,A20,'标签介绍度'!$O$2:$O$172,"已验证")</x:f>
        <x:v>10</x:v>
      </x:c>
      <x:c r="H20" s="75" t="n">
        <x:f>IF(G20=0,"",AVERAGEIFS('标签介绍度'!$K$2:$K$172,'标签介绍度'!$B$2:$B$172,A20,'标签介绍度'!$O$2:$O$172,"已验证"))</x:f>
        <x:v>3.7</x:v>
      </x:c>
      <x:c r="I20" s="49" t="str">
        <x:f>IF(G20=0,"未验证",IF(H20&gt;=6,"高介绍",IF(H20&gt;=3,"中介绍","低介绍")))</x:f>
        <x:v>中介绍</x:v>
      </x:c>
      <x:c r="J20" s="49" t="str">
        <x:f>IF(G20=0,"C",IF(AND(E20&gt;=0.8,H20&gt;=6),"A",IF(AND(E20&gt;=0.5,H20&lt;6),"B1",IF(AND(E20&gt;=0.2,E20&lt;0.8,H20&gt;=6),"B2","C"))))</x:f>
        <x:v>B1</x:v>
      </x:c>
      <x:c r="K20" s="49" t="str">
        <x:f>IF(J20="A","必要表达候选",IF(J20="B1","普及但弱介绍",IF(J20="B2","细分强介绍","次级 / 观察")))</x:f>
        <x:v>普及但弱介绍</x:v>
      </x:c>
      <x:c r="L20" s="49" t="str">
        <x:f>"Coverage="&amp;E20&amp;"；Market Expression="&amp;H20&amp;"；按固定规则归入 "&amp;J20</x:f>
        <x:v>Coverage=1；Market Expression=3.7；按固定规则归入 B1</x:v>
      </x:c>
      <x:c r="M20" s="49" t="str">
        <x:f>IF(D20&lt;10,"样本不足，不得作为正式结论",IF(G20=0,"介绍度未验证","正式数据"))</x:f>
        <x:v>正式数据</x:v>
      </x:c>
    </x:row>
    <x:row r="21" ht="34" customHeight="1">
      <x:c r="A21" s="49" t="str">
        <x:v>Home Office</x:v>
      </x:c>
      <x:c r="B21" s="161" t="str">
        <x:v>场景</x:v>
      </x:c>
      <x:c r="C21" s="51" t="n">
        <x:f>'标签覆盖率'!C21</x:f>
        <x:v>6</x:v>
      </x:c>
      <x:c r="D21" s="51" t="n">
        <x:f>'标签覆盖率'!D21</x:f>
        <x:v>10</x:v>
      </x:c>
      <x:c r="E21" s="52" t="n">
        <x:f>'标签覆盖率'!E21</x:f>
        <x:v>0.6</x:v>
      </x:c>
      <x:c r="F21" s="49" t="str">
        <x:f>'标签覆盖率'!F21</x:f>
        <x:v>中覆盖</x:v>
      </x:c>
      <x:c r="G21" s="49" t="n">
        <x:f>COUNTIFS('标签介绍度'!$B$2:$B$172,A21,'标签介绍度'!$O$2:$O$172,"已验证")</x:f>
        <x:v>6</x:v>
      </x:c>
      <x:c r="H21" s="75" t="n">
        <x:f>IF(G21=0,"",AVERAGEIFS('标签介绍度'!$K$2:$K$172,'标签介绍度'!$B$2:$B$172,A21,'标签介绍度'!$O$2:$O$172,"已验证"))</x:f>
        <x:v>1.5</x:v>
      </x:c>
      <x:c r="I21" s="49" t="str">
        <x:f>IF(G21=0,"未验证",IF(H21&gt;=6,"高介绍",IF(H21&gt;=3,"中介绍","低介绍")))</x:f>
        <x:v>低介绍</x:v>
      </x:c>
      <x:c r="J21" s="49" t="str">
        <x:f>IF(G21=0,"C",IF(AND(E21&gt;=0.8,H21&gt;=6),"A",IF(AND(E21&gt;=0.5,H21&lt;6),"B1",IF(AND(E21&gt;=0.2,E21&lt;0.8,H21&gt;=6),"B2","C"))))</x:f>
        <x:v>B1</x:v>
      </x:c>
      <x:c r="K21" s="49" t="str">
        <x:f>IF(J21="A","必要表达候选",IF(J21="B1","普及但弱介绍",IF(J21="B2","细分强介绍","次级 / 观察")))</x:f>
        <x:v>普及但弱介绍</x:v>
      </x:c>
      <x:c r="L21" s="49" t="str">
        <x:f>"Coverage="&amp;E21&amp;"；Market Expression="&amp;H21&amp;"；按固定规则归入 "&amp;J21</x:f>
        <x:v>Coverage=0.6；Market Expression=1.5；按固定规则归入 B1</x:v>
      </x:c>
      <x:c r="M21" s="49" t="str">
        <x:f>IF(D21&lt;10,"样本不足，不得作为正式结论",IF(G21=0,"介绍度未验证","正式数据"))</x:f>
        <x:v>正式数据</x:v>
      </x:c>
    </x:row>
    <x:row r="22" ht="34" customHeight="1">
      <x:c r="A22" s="49" t="str">
        <x:v>Streaming / Content Creation Setup</x:v>
      </x:c>
      <x:c r="B22" s="161" t="str">
        <x:v>场景</x:v>
      </x:c>
      <x:c r="C22" s="51" t="n">
        <x:f>'标签覆盖率'!C22</x:f>
        <x:v>5</x:v>
      </x:c>
      <x:c r="D22" s="51" t="n">
        <x:f>'标签覆盖率'!D22</x:f>
        <x:v>10</x:v>
      </x:c>
      <x:c r="E22" s="52" t="n">
        <x:f>'标签覆盖率'!E22</x:f>
        <x:v>0.5</x:v>
      </x:c>
      <x:c r="F22" s="49" t="str">
        <x:f>'标签覆盖率'!F22</x:f>
        <x:v>中覆盖</x:v>
      </x:c>
      <x:c r="G22" s="49" t="n">
        <x:f>COUNTIFS('标签介绍度'!$B$2:$B$172,A22,'标签介绍度'!$O$2:$O$172,"已验证")</x:f>
        <x:v>5</x:v>
      </x:c>
      <x:c r="H22" s="75" t="n">
        <x:f>IF(G22=0,"",AVERAGEIFS('标签介绍度'!$K$2:$K$172,'标签介绍度'!$B$2:$B$172,A22,'标签介绍度'!$O$2:$O$172,"已验证"))</x:f>
        <x:v>1</x:v>
      </x:c>
      <x:c r="I22" s="49" t="str">
        <x:f>IF(G22=0,"未验证",IF(H22&gt;=6,"高介绍",IF(H22&gt;=3,"中介绍","低介绍")))</x:f>
        <x:v>低介绍</x:v>
      </x:c>
      <x:c r="J22" s="49" t="str">
        <x:f>IF(G22=0,"C",IF(AND(E22&gt;=0.8,H22&gt;=6),"A",IF(AND(E22&gt;=0.5,H22&lt;6),"B1",IF(AND(E22&gt;=0.2,E22&lt;0.8,H22&gt;=6),"B2","C"))))</x:f>
        <x:v>B1</x:v>
      </x:c>
      <x:c r="K22" s="49" t="str">
        <x:f>IF(J22="A","必要表达候选",IF(J22="B1","普及但弱介绍",IF(J22="B2","细分强介绍","次级 / 观察")))</x:f>
        <x:v>普及但弱介绍</x:v>
      </x:c>
      <x:c r="L22" s="49" t="str">
        <x:f>"Coverage="&amp;E22&amp;"；Market Expression="&amp;H22&amp;"；按固定规则归入 "&amp;J22</x:f>
        <x:v>Coverage=0.5；Market Expression=1；按固定规则归入 B1</x:v>
      </x:c>
      <x:c r="M22" s="49" t="str">
        <x:f>IF(D22&lt;10,"样本不足，不得作为正式结论",IF(G22=0,"介绍度未验证","正式数据"))</x:f>
        <x:v>正式数据</x:v>
      </x:c>
    </x:row>
    <x:row r="23" ht="34" customHeight="1">
      <x:c r="A23" s="49" t="str">
        <x:v>Study Area</x:v>
      </x:c>
      <x:c r="B23" s="161" t="str">
        <x:v>场景</x:v>
      </x:c>
      <x:c r="C23" s="51" t="n">
        <x:f>'标签覆盖率'!C23</x:f>
        <x:v>5</x:v>
      </x:c>
      <x:c r="D23" s="51" t="n">
        <x:f>'标签覆盖率'!D23</x:f>
        <x:v>10</x:v>
      </x:c>
      <x:c r="E23" s="52" t="n">
        <x:f>'标签覆盖率'!E23</x:f>
        <x:v>0.5</x:v>
      </x:c>
      <x:c r="F23" s="49" t="str">
        <x:f>'标签覆盖率'!F23</x:f>
        <x:v>中覆盖</x:v>
      </x:c>
      <x:c r="G23" s="49" t="n">
        <x:f>COUNTIFS('标签介绍度'!$B$2:$B$172,A23,'标签介绍度'!$O$2:$O$172,"已验证")</x:f>
        <x:v>5</x:v>
      </x:c>
      <x:c r="H23" s="75" t="n">
        <x:f>IF(G23=0,"",AVERAGEIFS('标签介绍度'!$K$2:$K$172,'标签介绍度'!$B$2:$B$172,A23,'标签介绍度'!$O$2:$O$172,"已验证"))</x:f>
        <x:v>0.4</x:v>
      </x:c>
      <x:c r="I23" s="49" t="str">
        <x:f>IF(G23=0,"未验证",IF(H23&gt;=6,"高介绍",IF(H23&gt;=3,"中介绍","低介绍")))</x:f>
        <x:v>低介绍</x:v>
      </x:c>
      <x:c r="J23" s="49" t="str">
        <x:f>IF(G23=0,"C",IF(AND(E23&gt;=0.8,H23&gt;=6),"A",IF(AND(E23&gt;=0.5,H23&lt;6),"B1",IF(AND(E23&gt;=0.2,E23&lt;0.8,H23&gt;=6),"B2","C"))))</x:f>
        <x:v>B1</x:v>
      </x:c>
      <x:c r="K23" s="49" t="str">
        <x:f>IF(J23="A","必要表达候选",IF(J23="B1","普及但弱介绍",IF(J23="B2","细分强介绍","次级 / 观察")))</x:f>
        <x:v>普及但弱介绍</x:v>
      </x:c>
      <x:c r="L23" s="49" t="str">
        <x:f>"Coverage="&amp;E23&amp;"；Market Expression="&amp;H23&amp;"；按固定规则归入 "&amp;J23</x:f>
        <x:v>Coverage=0.5；Market Expression=0.4；按固定规则归入 B1</x:v>
      </x:c>
      <x:c r="M23" s="49" t="str">
        <x:f>IF(D23&lt;10,"样本不足，不得作为正式结论",IF(G23=0,"介绍度未验证","正式数据"))</x:f>
        <x:v>正式数据</x:v>
      </x:c>
    </x:row>
    <x:row r="24" ht="34" customHeight="1">
      <x:c r="A24" s="49" t="str">
        <x:v>Bedroom</x:v>
      </x:c>
      <x:c r="B24" s="161" t="str">
        <x:v>场景</x:v>
      </x:c>
      <x:c r="C24" s="51" t="n">
        <x:f>'标签覆盖率'!C24</x:f>
        <x:v>4</x:v>
      </x:c>
      <x:c r="D24" s="51" t="n">
        <x:f>'标签覆盖率'!D24</x:f>
        <x:v>10</x:v>
      </x:c>
      <x:c r="E24" s="52" t="n">
        <x:f>'标签覆盖率'!E24</x:f>
        <x:v>0.4</x:v>
      </x:c>
      <x:c r="F24" s="49" t="str">
        <x:f>'标签覆盖率'!F24</x:f>
        <x:v>低覆盖</x:v>
      </x:c>
      <x:c r="G24" s="49" t="n">
        <x:f>COUNTIFS('标签介绍度'!$B$2:$B$172,A24,'标签介绍度'!$O$2:$O$172,"已验证")</x:f>
        <x:v>4</x:v>
      </x:c>
      <x:c r="H24" s="75" t="n">
        <x:f>IF(G24=0,"",AVERAGEIFS('标签介绍度'!$K$2:$K$172,'标签介绍度'!$B$2:$B$172,A24,'标签介绍度'!$O$2:$O$172,"已验证"))</x:f>
        <x:v>0.25</x:v>
      </x:c>
      <x:c r="I24" s="49" t="str">
        <x:f>IF(G24=0,"未验证",IF(H24&gt;=6,"高介绍",IF(H24&gt;=3,"中介绍","低介绍")))</x:f>
        <x:v>低介绍</x:v>
      </x:c>
      <x:c r="J24" s="49" t="str">
        <x:f>IF(G24=0,"C",IF(AND(E24&gt;=0.8,H24&gt;=6),"A",IF(AND(E24&gt;=0.5,H24&lt;6),"B1",IF(AND(E24&gt;=0.2,E24&lt;0.8,H24&gt;=6),"B2","C"))))</x:f>
        <x:v>C</x:v>
      </x:c>
      <x:c r="K24" s="49" t="str">
        <x:f>IF(J24="A","必要表达候选",IF(J24="B1","普及但弱介绍",IF(J24="B2","细分强介绍","次级 / 观察")))</x:f>
        <x:v>次级 / 观察</x:v>
      </x:c>
      <x:c r="L24" s="49" t="str">
        <x:f>"Coverage="&amp;E24&amp;"；Market Expression="&amp;H24&amp;"；按固定规则归入 "&amp;J24</x:f>
        <x:v>Coverage=0.4；Market Expression=0.25；按固定规则归入 C</x:v>
      </x:c>
      <x:c r="M24" s="49" t="str">
        <x:f>IF(D24&lt;10,"样本不足，不得作为正式结论",IF(G24=0,"介绍度未验证","正式数据"))</x:f>
        <x:v>正式数据</x:v>
      </x:c>
    </x:row>
    <x:row r="25" ht="34" customHeight="1">
      <x:c r="A25" s="49" t="str">
        <x:v>Late-Night Use</x:v>
      </x:c>
      <x:c r="B25" s="161" t="str">
        <x:v>场景</x:v>
      </x:c>
      <x:c r="C25" s="51" t="n">
        <x:f>'标签覆盖率'!C25</x:f>
        <x:v>1</x:v>
      </x:c>
      <x:c r="D25" s="51" t="n">
        <x:f>'标签覆盖率'!D25</x:f>
        <x:v>10</x:v>
      </x:c>
      <x:c r="E25" s="52" t="n">
        <x:f>'标签覆盖率'!E25</x:f>
        <x:v>0.1</x:v>
      </x:c>
      <x:c r="F25" s="49" t="str">
        <x:f>'标签覆盖率'!F25</x:f>
        <x:v>极低覆盖</x:v>
      </x:c>
      <x:c r="G25" s="49" t="n">
        <x:f>COUNTIFS('标签介绍度'!$B$2:$B$172,A25,'标签介绍度'!$O$2:$O$172,"已验证")</x:f>
        <x:v>1</x:v>
      </x:c>
      <x:c r="H25" s="75" t="n">
        <x:f>IF(G25=0,"",AVERAGEIFS('标签介绍度'!$K$2:$K$172,'标签介绍度'!$B$2:$B$172,A25,'标签介绍度'!$O$2:$O$172,"已验证"))</x:f>
        <x:v>1</x:v>
      </x:c>
      <x:c r="I25" s="49" t="str">
        <x:f>IF(G25=0,"未验证",IF(H25&gt;=6,"高介绍",IF(H25&gt;=3,"中介绍","低介绍")))</x:f>
        <x:v>低介绍</x:v>
      </x:c>
      <x:c r="J25" s="49" t="str">
        <x:f>IF(G25=0,"C",IF(AND(E25&gt;=0.8,H25&gt;=6),"A",IF(AND(E25&gt;=0.5,H25&lt;6),"B1",IF(AND(E25&gt;=0.2,E25&lt;0.8,H25&gt;=6),"B2","C"))))</x:f>
        <x:v>C</x:v>
      </x:c>
      <x:c r="K25" s="49" t="str">
        <x:f>IF(J25="A","必要表达候选",IF(J25="B1","普及但弱介绍",IF(J25="B2","细分强介绍","次级 / 观察")))</x:f>
        <x:v>次级 / 观察</x:v>
      </x:c>
      <x:c r="L25" s="49" t="str">
        <x:f>"Coverage="&amp;E25&amp;"；Market Expression="&amp;H25&amp;"；按固定规则归入 "&amp;J25</x:f>
        <x:v>Coverage=0.1；Market Expression=1；按固定规则归入 C</x:v>
      </x:c>
      <x:c r="M25" s="49" t="str">
        <x:f>IF(D25&lt;10,"样本不足，不得作为正式结论",IF(G25=0,"介绍度未验证","正式数据"))</x:f>
        <x:v>正式数据</x:v>
      </x:c>
    </x:row>
    <x:row r="26" ht="34" customHeight="1">
      <x:c r="A26" s="49" t="str">
        <x:v>Living Room</x:v>
      </x:c>
      <x:c r="B26" s="161" t="str">
        <x:v>场景</x:v>
      </x:c>
      <x:c r="C26" s="51" t="n">
        <x:f>'标签覆盖率'!C26</x:f>
        <x:v>1</x:v>
      </x:c>
      <x:c r="D26" s="51" t="n">
        <x:f>'标签覆盖率'!D26</x:f>
        <x:v>10</x:v>
      </x:c>
      <x:c r="E26" s="52" t="n">
        <x:f>'标签覆盖率'!E26</x:f>
        <x:v>0.1</x:v>
      </x:c>
      <x:c r="F26" s="49" t="str">
        <x:f>'标签覆盖率'!F26</x:f>
        <x:v>极低覆盖</x:v>
      </x:c>
      <x:c r="G26" s="49" t="n">
        <x:f>COUNTIFS('标签介绍度'!$B$2:$B$172,A26,'标签介绍度'!$O$2:$O$172,"已验证")</x:f>
        <x:v>1</x:v>
      </x:c>
      <x:c r="H26" s="75" t="n">
        <x:f>IF(G26=0,"",AVERAGEIFS('标签介绍度'!$K$2:$K$172,'标签介绍度'!$B$2:$B$172,A26,'标签介绍度'!$O$2:$O$172,"已验证"))</x:f>
        <x:v>0</x:v>
      </x:c>
      <x:c r="I26" s="49" t="str">
        <x:f>IF(G26=0,"未验证",IF(H26&gt;=6,"高介绍",IF(H26&gt;=3,"中介绍","低介绍")))</x:f>
        <x:v>低介绍</x:v>
      </x:c>
      <x:c r="J26" s="49" t="str">
        <x:f>IF(G26=0,"C",IF(AND(E26&gt;=0.8,H26&gt;=6),"A",IF(AND(E26&gt;=0.5,H26&lt;6),"B1",IF(AND(E26&gt;=0.2,E26&lt;0.8,H26&gt;=6),"B2","C"))))</x:f>
        <x:v>C</x:v>
      </x:c>
      <x:c r="K26" s="49" t="str">
        <x:f>IF(J26="A","必要表达候选",IF(J26="B1","普及但弱介绍",IF(J26="B2","细分强介绍","次级 / 观察")))</x:f>
        <x:v>次级 / 观察</x:v>
      </x:c>
      <x:c r="L26" s="49" t="str">
        <x:f>"Coverage="&amp;E26&amp;"；Market Expression="&amp;H26&amp;"；按固定规则归入 "&amp;J26</x:f>
        <x:v>Coverage=0.1；Market Expression=0；按固定规则归入 C</x:v>
      </x:c>
      <x:c r="M26" s="49" t="str">
        <x:f>IF(D26&lt;10,"样本不足，不得作为正式结论",IF(G26=0,"介绍度未验证","正式数据"))</x:f>
        <x:v>正式数据</x:v>
      </x:c>
    </x:row>
    <x:row r="27" ht="34" customHeight="1">
      <x:c r="A27" s="61" t="str">
        <x:v>Gaming</x:v>
      </x:c>
      <x:c r="B27" s="163" t="str">
        <x:v>用途</x:v>
      </x:c>
      <x:c r="C27" s="63" t="n">
        <x:f>'标签覆盖率'!C27</x:f>
        <x:v>10</x:v>
      </x:c>
      <x:c r="D27" s="63" t="n">
        <x:f>'标签覆盖率'!D27</x:f>
        <x:v>10</x:v>
      </x:c>
      <x:c r="E27" s="64" t="n">
        <x:f>'标签覆盖率'!E27</x:f>
        <x:v>1</x:v>
      </x:c>
      <x:c r="F27" s="61" t="str">
        <x:f>'标签覆盖率'!F27</x:f>
        <x:v>Absolute Consensus / 全竞品共识</x:v>
      </x:c>
      <x:c r="G27" s="61" t="n">
        <x:f>COUNTIFS('标签介绍度'!$B$2:$B$172,A27,'标签介绍度'!$O$2:$O$172,"已验证")</x:f>
        <x:v>10</x:v>
      </x:c>
      <x:c r="H27" s="78" t="n">
        <x:f>IF(G27=0,"",AVERAGEIFS('标签介绍度'!$K$2:$K$172,'标签介绍度'!$B$2:$B$172,A27,'标签介绍度'!$O$2:$O$172,"已验证"))</x:f>
        <x:v>9</x:v>
      </x:c>
      <x:c r="I27" s="61" t="str">
        <x:f>IF(G27=0,"未验证",IF(H27&gt;=6,"高介绍",IF(H27&gt;=3,"中介绍","低介绍")))</x:f>
        <x:v>高介绍</x:v>
      </x:c>
      <x:c r="J27" s="61" t="str">
        <x:f>IF(G27=0,"C",IF(AND(E27&gt;=0.8,H27&gt;=6),"A",IF(AND(E27&gt;=0.5,H27&lt;6),"B1",IF(AND(E27&gt;=0.2,E27&lt;0.8,H27&gt;=6),"B2","C"))))</x:f>
        <x:v>A</x:v>
      </x:c>
      <x:c r="K27" s="61" t="str">
        <x:f>IF(J27="A","必要表达候选",IF(J27="B1","普及但弱介绍",IF(J27="B2","细分强介绍","次级 / 观察")))</x:f>
        <x:v>必要表达候选</x:v>
      </x:c>
      <x:c r="L27" s="61" t="str">
        <x:f>"Coverage="&amp;E27&amp;"；Market Expression="&amp;H27&amp;"；按固定规则归入 "&amp;J27</x:f>
        <x:v>Coverage=1；Market Expression=9；按固定规则归入 A</x:v>
      </x:c>
      <x:c r="M27" s="61" t="str">
        <x:f>IF(D27&lt;10,"样本不足，不得作为正式结论",IF(G27=0,"介绍度未验证","正式数据"))</x:f>
        <x:v>正式数据</x:v>
      </x:c>
    </x:row>
    <x:row r="28" ht="34" customHeight="1">
      <x:c r="A28" s="57" t="str">
        <x:v>Relaxing</x:v>
      </x:c>
      <x:c r="B28" s="165" t="str">
        <x:v>用途</x:v>
      </x:c>
      <x:c r="C28" s="59" t="n">
        <x:f>'标签覆盖率'!C28</x:f>
        <x:v>10</x:v>
      </x:c>
      <x:c r="D28" s="59" t="n">
        <x:f>'标签覆盖率'!D28</x:f>
        <x:v>10</x:v>
      </x:c>
      <x:c r="E28" s="60" t="n">
        <x:f>'标签覆盖率'!E28</x:f>
        <x:v>1</x:v>
      </x:c>
      <x:c r="F28" s="57" t="str">
        <x:f>'标签覆盖率'!F28</x:f>
        <x:v>Absolute Consensus / 全竞品共识</x:v>
      </x:c>
      <x:c r="G28" s="57" t="n">
        <x:f>COUNTIFS('标签介绍度'!$B$2:$B$172,A28,'标签介绍度'!$O$2:$O$172,"已验证")</x:f>
        <x:v>10</x:v>
      </x:c>
      <x:c r="H28" s="77" t="n">
        <x:f>IF(G28=0,"",AVERAGEIFS('标签介绍度'!$K$2:$K$172,'标签介绍度'!$B$2:$B$172,A28,'标签介绍度'!$O$2:$O$172,"已验证"))</x:f>
        <x:v>6.5</x:v>
      </x:c>
      <x:c r="I28" s="57" t="str">
        <x:f>IF(G28=0,"未验证",IF(H28&gt;=6,"高介绍",IF(H28&gt;=3,"中介绍","低介绍")))</x:f>
        <x:v>高介绍</x:v>
      </x:c>
      <x:c r="J28" s="57" t="str">
        <x:f>IF(G28=0,"C",IF(AND(E28&gt;=0.8,H28&gt;=6),"A",IF(AND(E28&gt;=0.5,H28&lt;6),"B1",IF(AND(E28&gt;=0.2,E28&lt;0.8,H28&gt;=6),"B2","C"))))</x:f>
        <x:v>A</x:v>
      </x:c>
      <x:c r="K28" s="57" t="str">
        <x:f>IF(J28="A","必要表达候选",IF(J28="B1","普及但弱介绍",IF(J28="B2","细分强介绍","次级 / 观察")))</x:f>
        <x:v>必要表达候选</x:v>
      </x:c>
      <x:c r="L28" s="57" t="str">
        <x:f>"Coverage="&amp;E28&amp;"；Market Expression="&amp;H28&amp;"；按固定规则归入 "&amp;J28</x:f>
        <x:v>Coverage=1；Market Expression=6.5；按固定规则归入 A</x:v>
      </x:c>
      <x:c r="M28" s="57" t="str">
        <x:f>IF(D28&lt;10,"样本不足，不得作为正式结论",IF(G28=0,"介绍度未验证","正式数据"))</x:f>
        <x:v>正式数据</x:v>
      </x:c>
    </x:row>
    <x:row r="29" ht="34" customHeight="1">
      <x:c r="A29" s="57" t="str">
        <x:v>Work</x:v>
      </x:c>
      <x:c r="B29" s="165" t="str">
        <x:v>用途</x:v>
      </x:c>
      <x:c r="C29" s="59" t="n">
        <x:f>'标签覆盖率'!C29</x:f>
        <x:v>10</x:v>
      </x:c>
      <x:c r="D29" s="59" t="n">
        <x:f>'标签覆盖率'!D29</x:f>
        <x:v>10</x:v>
      </x:c>
      <x:c r="E29" s="60" t="n">
        <x:f>'标签覆盖率'!E29</x:f>
        <x:v>1</x:v>
      </x:c>
      <x:c r="F29" s="57" t="str">
        <x:f>'标签覆盖率'!F29</x:f>
        <x:v>Absolute Consensus / 全竞品共识</x:v>
      </x:c>
      <x:c r="G29" s="57" t="n">
        <x:f>COUNTIFS('标签介绍度'!$B$2:$B$172,A29,'标签介绍度'!$O$2:$O$172,"已验证")</x:f>
        <x:v>10</x:v>
      </x:c>
      <x:c r="H29" s="77" t="n">
        <x:f>IF(G29=0,"",AVERAGEIFS('标签介绍度'!$K$2:$K$172,'标签介绍度'!$B$2:$B$172,A29,'标签介绍度'!$O$2:$O$172,"已验证"))</x:f>
        <x:v>5</x:v>
      </x:c>
      <x:c r="I29" s="57" t="str">
        <x:f>IF(G29=0,"未验证",IF(H29&gt;=6,"高介绍",IF(H29&gt;=3,"中介绍","低介绍")))</x:f>
        <x:v>中介绍</x:v>
      </x:c>
      <x:c r="J29" s="57" t="str">
        <x:f>IF(G29=0,"C",IF(AND(E29&gt;=0.8,H29&gt;=6),"A",IF(AND(E29&gt;=0.5,H29&lt;6),"B1",IF(AND(E29&gt;=0.2,E29&lt;0.8,H29&gt;=6),"B2","C"))))</x:f>
        <x:v>B1</x:v>
      </x:c>
      <x:c r="K29" s="57" t="str">
        <x:f>IF(J29="A","必要表达候选",IF(J29="B1","普及但弱介绍",IF(J29="B2","细分强介绍","次级 / 观察")))</x:f>
        <x:v>普及但弱介绍</x:v>
      </x:c>
      <x:c r="L29" s="57" t="str">
        <x:f>"Coverage="&amp;E29&amp;"；Market Expression="&amp;H29&amp;"；按固定规则归入 "&amp;J29</x:f>
        <x:v>Coverage=1；Market Expression=5；按固定规则归入 B1</x:v>
      </x:c>
      <x:c r="M29" s="57" t="str">
        <x:f>IF(D29&lt;10,"样本不足，不得作为正式结论",IF(G29=0,"介绍度未验证","正式数据"))</x:f>
        <x:v>正式数据</x:v>
      </x:c>
    </x:row>
    <x:row r="30" ht="34" customHeight="1">
      <x:c r="A30" s="57" t="str">
        <x:v>Computer Use</x:v>
      </x:c>
      <x:c r="B30" s="165" t="str">
        <x:v>用途</x:v>
      </x:c>
      <x:c r="C30" s="59" t="n">
        <x:f>'标签覆盖率'!C30</x:f>
        <x:v>8</x:v>
      </x:c>
      <x:c r="D30" s="59" t="n">
        <x:f>'标签覆盖率'!D30</x:f>
        <x:v>10</x:v>
      </x:c>
      <x:c r="E30" s="60" t="n">
        <x:f>'标签覆盖率'!E30</x:f>
        <x:v>0.8</x:v>
      </x:c>
      <x:c r="F30" s="57" t="str">
        <x:f>'标签覆盖率'!F30</x:f>
        <x:v>高覆盖</x:v>
      </x:c>
      <x:c r="G30" s="57" t="n">
        <x:f>COUNTIFS('标签介绍度'!$B$2:$B$172,A30,'标签介绍度'!$O$2:$O$172,"已验证")</x:f>
        <x:v>8</x:v>
      </x:c>
      <x:c r="H30" s="77" t="n">
        <x:f>IF(G30=0,"",AVERAGEIFS('标签介绍度'!$K$2:$K$172,'标签介绍度'!$B$2:$B$172,A30,'标签介绍度'!$O$2:$O$172,"已验证"))</x:f>
        <x:v>2.5</x:v>
      </x:c>
      <x:c r="I30" s="57" t="str">
        <x:f>IF(G30=0,"未验证",IF(H30&gt;=6,"高介绍",IF(H30&gt;=3,"中介绍","低介绍")))</x:f>
        <x:v>低介绍</x:v>
      </x:c>
      <x:c r="J30" s="57" t="str">
        <x:f>IF(G30=0,"C",IF(AND(E30&gt;=0.8,H30&gt;=6),"A",IF(AND(E30&gt;=0.5,H30&lt;6),"B1",IF(AND(E30&gt;=0.2,E30&lt;0.8,H30&gt;=6),"B2","C"))))</x:f>
        <x:v>B1</x:v>
      </x:c>
      <x:c r="K30" s="57" t="str">
        <x:f>IF(J30="A","必要表达候选",IF(J30="B1","普及但弱介绍",IF(J30="B2","细分强介绍","次级 / 观察")))</x:f>
        <x:v>普及但弱介绍</x:v>
      </x:c>
      <x:c r="L30" s="57" t="str">
        <x:f>"Coverage="&amp;E30&amp;"；Market Expression="&amp;H30&amp;"；按固定规则归入 "&amp;J30</x:f>
        <x:v>Coverage=0.8；Market Expression=2.5；按固定规则归入 B1</x:v>
      </x:c>
      <x:c r="M30" s="57" t="str">
        <x:f>IF(D30&lt;10,"样本不足，不得作为正式结论",IF(G30=0,"介绍度未验证","正式数据"))</x:f>
        <x:v>正式数据</x:v>
      </x:c>
    </x:row>
    <x:row r="31" ht="34" customHeight="1">
      <x:c r="A31" s="57" t="str">
        <x:v>Reading</x:v>
      </x:c>
      <x:c r="B31" s="165" t="str">
        <x:v>用途</x:v>
      </x:c>
      <x:c r="C31" s="59" t="n">
        <x:f>'标签覆盖率'!C31</x:f>
        <x:v>7</x:v>
      </x:c>
      <x:c r="D31" s="59" t="n">
        <x:f>'标签覆盖率'!D31</x:f>
        <x:v>10</x:v>
      </x:c>
      <x:c r="E31" s="60" t="n">
        <x:f>'标签覆盖率'!E31</x:f>
        <x:v>0.7</x:v>
      </x:c>
      <x:c r="F31" s="57" t="str">
        <x:f>'标签覆盖率'!F31</x:f>
        <x:v>中覆盖</x:v>
      </x:c>
      <x:c r="G31" s="57" t="n">
        <x:f>COUNTIFS('标签介绍度'!$B$2:$B$172,A31,'标签介绍度'!$O$2:$O$172,"已验证")</x:f>
        <x:v>7</x:v>
      </x:c>
      <x:c r="H31" s="77" t="n">
        <x:f>IF(G31=0,"",AVERAGEIFS('标签介绍度'!$K$2:$K$172,'标签介绍度'!$B$2:$B$172,A31,'标签介绍度'!$O$2:$O$172,"已验证"))</x:f>
        <x:v>0.42857142857142855</x:v>
      </x:c>
      <x:c r="I31" s="57" t="str">
        <x:f>IF(G31=0,"未验证",IF(H31&gt;=6,"高介绍",IF(H31&gt;=3,"中介绍","低介绍")))</x:f>
        <x:v>低介绍</x:v>
      </x:c>
      <x:c r="J31" s="57" t="str">
        <x:f>IF(G31=0,"C",IF(AND(E31&gt;=0.8,H31&gt;=6),"A",IF(AND(E31&gt;=0.5,H31&lt;6),"B1",IF(AND(E31&gt;=0.2,E31&lt;0.8,H31&gt;=6),"B2","C"))))</x:f>
        <x:v>B1</x:v>
      </x:c>
      <x:c r="K31" s="57" t="str">
        <x:f>IF(J31="A","必要表达候选",IF(J31="B1","普及但弱介绍",IF(J31="B2","细分强介绍","次级 / 观察")))</x:f>
        <x:v>普及但弱介绍</x:v>
      </x:c>
      <x:c r="L31" s="57" t="str">
        <x:f>"Coverage="&amp;E31&amp;"；Market Expression="&amp;H31&amp;"；按固定规则归入 "&amp;J31</x:f>
        <x:v>Coverage=0.7；Market Expression=0.42857142857142855；按固定规则归入 B1</x:v>
      </x:c>
      <x:c r="M31" s="57" t="str">
        <x:f>IF(D31&lt;10,"样本不足，不得作为正式结论",IF(G31=0,"介绍度未验证","正式数据"))</x:f>
        <x:v>正式数据</x:v>
      </x:c>
    </x:row>
    <x:row r="32" ht="34" customHeight="1">
      <x:c r="A32" s="57" t="str">
        <x:v>Napping</x:v>
      </x:c>
      <x:c r="B32" s="165" t="str">
        <x:v>用途</x:v>
      </x:c>
      <x:c r="C32" s="59" t="n">
        <x:f>'标签覆盖率'!C32</x:f>
        <x:v>2</x:v>
      </x:c>
      <x:c r="D32" s="59" t="n">
        <x:f>'标签覆盖率'!D32</x:f>
        <x:v>10</x:v>
      </x:c>
      <x:c r="E32" s="60" t="n">
        <x:f>'标签覆盖率'!E32</x:f>
        <x:v>0.2</x:v>
      </x:c>
      <x:c r="F32" s="57" t="str">
        <x:f>'标签覆盖率'!F32</x:f>
        <x:v>低覆盖</x:v>
      </x:c>
      <x:c r="G32" s="57" t="n">
        <x:f>COUNTIFS('标签介绍度'!$B$2:$B$172,A32,'标签介绍度'!$O$2:$O$172,"已验证")</x:f>
        <x:v>2</x:v>
      </x:c>
      <x:c r="H32" s="77" t="n">
        <x:f>IF(G32=0,"",AVERAGEIFS('标签介绍度'!$K$2:$K$172,'标签介绍度'!$B$2:$B$172,A32,'标签介绍度'!$O$2:$O$172,"已验证"))</x:f>
        <x:v>1.5</x:v>
      </x:c>
      <x:c r="I32" s="57" t="str">
        <x:f>IF(G32=0,"未验证",IF(H32&gt;=6,"高介绍",IF(H32&gt;=3,"中介绍","低介绍")))</x:f>
        <x:v>低介绍</x:v>
      </x:c>
      <x:c r="J32" s="57" t="str">
        <x:f>IF(G32=0,"C",IF(AND(E32&gt;=0.8,H32&gt;=6),"A",IF(AND(E32&gt;=0.5,H32&lt;6),"B1",IF(AND(E32&gt;=0.2,E32&lt;0.8,H32&gt;=6),"B2","C"))))</x:f>
        <x:v>C</x:v>
      </x:c>
      <x:c r="K32" s="57" t="str">
        <x:f>IF(J32="A","必要表达候选",IF(J32="B1","普及但弱介绍",IF(J32="B2","细分强介绍","次级 / 观察")))</x:f>
        <x:v>次级 / 观察</x:v>
      </x:c>
      <x:c r="L32" s="57" t="str">
        <x:f>"Coverage="&amp;E32&amp;"；Market Expression="&amp;H32&amp;"；按固定规则归入 "&amp;J32</x:f>
        <x:v>Coverage=0.2；Market Expression=1.5；按固定规则归入 C</x:v>
      </x:c>
      <x:c r="M32" s="57" t="str">
        <x:f>IF(D32&lt;10,"样本不足，不得作为正式结论",IF(G32=0,"介绍度未验证","正式数据"))</x:f>
        <x:v>正式数据</x:v>
      </x:c>
    </x:row>
    <x:row r="33" ht="34" customHeight="1">
      <x:c r="A33" s="57" t="str">
        <x:v>Streaming / Content Creation</x:v>
      </x:c>
      <x:c r="B33" s="165" t="str">
        <x:v>用途</x:v>
      </x:c>
      <x:c r="C33" s="59" t="n">
        <x:f>'标签覆盖率'!C33</x:f>
        <x:v>2</x:v>
      </x:c>
      <x:c r="D33" s="59" t="n">
        <x:f>'标签覆盖率'!D33</x:f>
        <x:v>10</x:v>
      </x:c>
      <x:c r="E33" s="60" t="n">
        <x:f>'标签覆盖率'!E33</x:f>
        <x:v>0.2</x:v>
      </x:c>
      <x:c r="F33" s="57" t="str">
        <x:f>'标签覆盖率'!F33</x:f>
        <x:v>低覆盖</x:v>
      </x:c>
      <x:c r="G33" s="57" t="n">
        <x:f>COUNTIFS('标签介绍度'!$B$2:$B$172,A33,'标签介绍度'!$O$2:$O$172,"已验证")</x:f>
        <x:v>2</x:v>
      </x:c>
      <x:c r="H33" s="77" t="n">
        <x:f>IF(G33=0,"",AVERAGEIFS('标签介绍度'!$K$2:$K$172,'标签介绍度'!$B$2:$B$172,A33,'标签介绍度'!$O$2:$O$172,"已验证"))</x:f>
        <x:v>2.5</x:v>
      </x:c>
      <x:c r="I33" s="57" t="str">
        <x:f>IF(G33=0,"未验证",IF(H33&gt;=6,"高介绍",IF(H33&gt;=3,"中介绍","低介绍")))</x:f>
        <x:v>低介绍</x:v>
      </x:c>
      <x:c r="J33" s="57" t="str">
        <x:f>IF(G33=0,"C",IF(AND(E33&gt;=0.8,H33&gt;=6),"A",IF(AND(E33&gt;=0.5,H33&lt;6),"B1",IF(AND(E33&gt;=0.2,E33&lt;0.8,H33&gt;=6),"B2","C"))))</x:f>
        <x:v>C</x:v>
      </x:c>
      <x:c r="K33" s="57" t="str">
        <x:f>IF(J33="A","必要表达候选",IF(J33="B1","普及但弱介绍",IF(J33="B2","细分强介绍","次级 / 观察")))</x:f>
        <x:v>次级 / 观察</x:v>
      </x:c>
      <x:c r="L33" s="57" t="str">
        <x:f>"Coverage="&amp;E33&amp;"；Market Expression="&amp;H33&amp;"；按固定规则归入 "&amp;J33</x:f>
        <x:v>Coverage=0.2；Market Expression=2.5；按固定规则归入 C</x:v>
      </x:c>
      <x:c r="M33" s="57" t="str">
        <x:f>IF(D33&lt;10,"样本不足，不得作为正式结论",IF(G33=0,"介绍度未验证","正式数据"))</x:f>
        <x:v>正式数据</x:v>
      </x:c>
    </x:row>
    <x:row r="34" ht="34" customHeight="1">
      <x:c r="A34" s="57" t="str">
        <x:v>Study</x:v>
      </x:c>
      <x:c r="B34" s="165" t="str">
        <x:v>用途</x:v>
      </x:c>
      <x:c r="C34" s="59" t="n">
        <x:f>'标签覆盖率'!C34</x:f>
        <x:v>2</x:v>
      </x:c>
      <x:c r="D34" s="59" t="n">
        <x:f>'标签覆盖率'!D34</x:f>
        <x:v>10</x:v>
      </x:c>
      <x:c r="E34" s="60" t="n">
        <x:f>'标签覆盖率'!E34</x:f>
        <x:v>0.2</x:v>
      </x:c>
      <x:c r="F34" s="57" t="str">
        <x:f>'标签覆盖率'!F34</x:f>
        <x:v>低覆盖</x:v>
      </x:c>
      <x:c r="G34" s="57" t="n">
        <x:f>COUNTIFS('标签介绍度'!$B$2:$B$172,A34,'标签介绍度'!$O$2:$O$172,"已验证")</x:f>
        <x:v>2</x:v>
      </x:c>
      <x:c r="H34" s="77" t="n">
        <x:f>IF(G34=0,"",AVERAGEIFS('标签介绍度'!$K$2:$K$172,'标签介绍度'!$B$2:$B$172,A34,'标签介绍度'!$O$2:$O$172,"已验证"))</x:f>
        <x:v>0</x:v>
      </x:c>
      <x:c r="I34" s="57" t="str">
        <x:f>IF(G34=0,"未验证",IF(H34&gt;=6,"高介绍",IF(H34&gt;=3,"中介绍","低介绍")))</x:f>
        <x:v>低介绍</x:v>
      </x:c>
      <x:c r="J34" s="57" t="str">
        <x:f>IF(G34=0,"C",IF(AND(E34&gt;=0.8,H34&gt;=6),"A",IF(AND(E34&gt;=0.5,H34&lt;6),"B1",IF(AND(E34&gt;=0.2,E34&lt;0.8,H34&gt;=6),"B2","C"))))</x:f>
        <x:v>C</x:v>
      </x:c>
      <x:c r="K34" s="57" t="str">
        <x:f>IF(J34="A","必要表达候选",IF(J34="B1","普及但弱介绍",IF(J34="B2","细分强介绍","次级 / 观察")))</x:f>
        <x:v>次级 / 观察</x:v>
      </x:c>
      <x:c r="L34" s="57" t="str">
        <x:f>"Coverage="&amp;E34&amp;"；Market Expression="&amp;H34&amp;"；按固定规则归入 "&amp;J34</x:f>
        <x:v>Coverage=0.2；Market Expression=0；按固定规则归入 C</x:v>
      </x:c>
      <x:c r="M34" s="57" t="str">
        <x:f>IF(D34&lt;10,"样本不足，不得作为正式结论",IF(G34=0,"介绍度未验证","正式数据"))</x:f>
        <x:v>正式数据</x:v>
      </x:c>
    </x:row>
    <x:row r="35" ht="34" customHeight="1">
      <x:c r="A35" s="57" t="str">
        <x:v>Back Tension Relief</x:v>
      </x:c>
      <x:c r="B35" s="165" t="str">
        <x:v>用途</x:v>
      </x:c>
      <x:c r="C35" s="59" t="n">
        <x:f>'标签覆盖率'!C35</x:f>
        <x:v>1</x:v>
      </x:c>
      <x:c r="D35" s="59" t="n">
        <x:f>'标签覆盖率'!D35</x:f>
        <x:v>10</x:v>
      </x:c>
      <x:c r="E35" s="60" t="n">
        <x:f>'标签覆盖率'!E35</x:f>
        <x:v>0.1</x:v>
      </x:c>
      <x:c r="F35" s="57" t="str">
        <x:f>'标签覆盖率'!F35</x:f>
        <x:v>极低覆盖</x:v>
      </x:c>
      <x:c r="G35" s="57" t="n">
        <x:f>COUNTIFS('标签介绍度'!$B$2:$B$172,A35,'标签介绍度'!$O$2:$O$172,"已验证")</x:f>
        <x:v>1</x:v>
      </x:c>
      <x:c r="H35" s="77" t="n">
        <x:f>IF(G35=0,"",AVERAGEIFS('标签介绍度'!$K$2:$K$172,'标签介绍度'!$B$2:$B$172,A35,'标签介绍度'!$O$2:$O$172,"已验证"))</x:f>
        <x:v>5</x:v>
      </x:c>
      <x:c r="I35" s="57" t="str">
        <x:f>IF(G35=0,"未验证",IF(H35&gt;=6,"高介绍",IF(H35&gt;=3,"中介绍","低介绍")))</x:f>
        <x:v>中介绍</x:v>
      </x:c>
      <x:c r="J35" s="57" t="str">
        <x:f>IF(G35=0,"C",IF(AND(E35&gt;=0.8,H35&gt;=6),"A",IF(AND(E35&gt;=0.5,H35&lt;6),"B1",IF(AND(E35&gt;=0.2,E35&lt;0.8,H35&gt;=6),"B2","C"))))</x:f>
        <x:v>C</x:v>
      </x:c>
      <x:c r="K35" s="57" t="str">
        <x:f>IF(J35="A","必要表达候选",IF(J35="B1","普及但弱介绍",IF(J35="B2","细分强介绍","次级 / 观察")))</x:f>
        <x:v>次级 / 观察</x:v>
      </x:c>
      <x:c r="L35" s="57" t="str">
        <x:f>"Coverage="&amp;E35&amp;"；Market Expression="&amp;H35&amp;"；按固定规则归入 "&amp;J35</x:f>
        <x:v>Coverage=0.1；Market Expression=5；按固定规则归入 C</x:v>
      </x:c>
      <x:c r="M35" s="57" t="str">
        <x:f>IF(D35&lt;10,"样本不足，不得作为正式结论",IF(G35=0,"介绍度未验证","正式数据"))</x:f>
        <x:v>正式数据</x:v>
      </x:c>
    </x:row>
    <x:row r="36" ht="34" customHeight="1">
      <x:c r="A36" s="69" t="str">
        <x:v>Long Hours</x:v>
      </x:c>
      <x:c r="B36" s="167" t="str">
        <x:v>频率</x:v>
      </x:c>
      <x:c r="C36" s="71" t="n">
        <x:f>'标签覆盖率'!C36</x:f>
        <x:v>4</x:v>
      </x:c>
      <x:c r="D36" s="71" t="n">
        <x:f>'标签覆盖率'!D36</x:f>
        <x:v>10</x:v>
      </x:c>
      <x:c r="E36" s="72" t="n">
        <x:f>'标签覆盖率'!E36</x:f>
        <x:v>0.4</x:v>
      </x:c>
      <x:c r="F36" s="69" t="str">
        <x:f>'标签覆盖率'!F36</x:f>
        <x:v>低覆盖</x:v>
      </x:c>
      <x:c r="G36" s="69" t="n">
        <x:f>COUNTIFS('标签介绍度'!$B$2:$B$172,A36,'标签介绍度'!$O$2:$O$172,"已验证")</x:f>
        <x:v>4</x:v>
      </x:c>
      <x:c r="H36" s="80" t="n">
        <x:f>IF(G36=0,"",AVERAGEIFS('标签介绍度'!$K$2:$K$172,'标签介绍度'!$B$2:$B$172,A36,'标签介绍度'!$O$2:$O$172,"已验证"))</x:f>
        <x:v>3.5</x:v>
      </x:c>
      <x:c r="I36" s="69" t="str">
        <x:f>IF(G36=0,"未验证",IF(H36&gt;=6,"高介绍",IF(H36&gt;=3,"中介绍","低介绍")))</x:f>
        <x:v>中介绍</x:v>
      </x:c>
      <x:c r="J36" s="69" t="str">
        <x:f>IF(G36=0,"C",IF(AND(E36&gt;=0.8,H36&gt;=6),"A",IF(AND(E36&gt;=0.5,H36&lt;6),"B1",IF(AND(E36&gt;=0.2,E36&lt;0.8,H36&gt;=6),"B2","C"))))</x:f>
        <x:v>C</x:v>
      </x:c>
      <x:c r="K36" s="69" t="str">
        <x:f>IF(J36="A","必要表达候选",IF(J36="B1","普及但弱介绍",IF(J36="B2","细分强介绍","次级 / 观察")))</x:f>
        <x:v>次级 / 观察</x:v>
      </x:c>
      <x:c r="L36" s="69" t="str">
        <x:f>"Coverage="&amp;E36&amp;"；Market Expression="&amp;H36&amp;"；按固定规则归入 "&amp;J36</x:f>
        <x:v>Coverage=0.4；Market Expression=3.5；按固定规则归入 C</x:v>
      </x:c>
      <x:c r="M36" s="69" t="str">
        <x:f>IF(D36&lt;10,"样本不足，不得作为正式结论",IF(G36=0,"介绍度未验证","正式数据"))</x:f>
        <x:v>正式数据</x:v>
      </x:c>
    </x:row>
    <x:row r="37" ht="34" customHeight="1">
      <x:c r="A37" s="65" t="str">
        <x:v>All-Day Use</x:v>
      </x:c>
      <x:c r="B37" s="169" t="str">
        <x:v>频率</x:v>
      </x:c>
      <x:c r="C37" s="67" t="n">
        <x:f>'标签覆盖率'!C37</x:f>
        <x:v>3</x:v>
      </x:c>
      <x:c r="D37" s="67" t="n">
        <x:f>'标签覆盖率'!D37</x:f>
        <x:v>10</x:v>
      </x:c>
      <x:c r="E37" s="68" t="n">
        <x:f>'标签覆盖率'!E37</x:f>
        <x:v>0.3</x:v>
      </x:c>
      <x:c r="F37" s="65" t="str">
        <x:f>'标签覆盖率'!F37</x:f>
        <x:v>低覆盖</x:v>
      </x:c>
      <x:c r="G37" s="65" t="n">
        <x:f>COUNTIFS('标签介绍度'!$B$2:$B$172,A37,'标签介绍度'!$O$2:$O$172,"已验证")</x:f>
        <x:v>3</x:v>
      </x:c>
      <x:c r="H37" s="79" t="n">
        <x:f>IF(G37=0,"",AVERAGEIFS('标签介绍度'!$K$2:$K$172,'标签介绍度'!$B$2:$B$172,A37,'标签介绍度'!$O$2:$O$172,"已验证"))</x:f>
        <x:v>1</x:v>
      </x:c>
      <x:c r="I37" s="65" t="str">
        <x:f>IF(G37=0,"未验证",IF(H37&gt;=6,"高介绍",IF(H37&gt;=3,"中介绍","低介绍")))</x:f>
        <x:v>低介绍</x:v>
      </x:c>
      <x:c r="J37" s="65" t="str">
        <x:f>IF(G37=0,"C",IF(AND(E37&gt;=0.8,H37&gt;=6),"A",IF(AND(E37&gt;=0.5,H37&lt;6),"B1",IF(AND(E37&gt;=0.2,E37&lt;0.8,H37&gt;=6),"B2","C"))))</x:f>
        <x:v>C</x:v>
      </x:c>
      <x:c r="K37" s="65" t="str">
        <x:f>IF(J37="A","必要表达候选",IF(J37="B1","普及但弱介绍",IF(J37="B2","细分强介绍","次级 / 观察")))</x:f>
        <x:v>次级 / 观察</x:v>
      </x:c>
      <x:c r="L37" s="65" t="str">
        <x:f>"Coverage="&amp;E37&amp;"；Market Expression="&amp;H37&amp;"；按固定规则归入 "&amp;J37</x:f>
        <x:v>Coverage=0.3；Market Expression=1；按固定规则归入 C</x:v>
      </x:c>
      <x:c r="M37" s="65" t="str">
        <x:f>IF(D37&lt;10,"样本不足，不得作为正式结论",IF(G37=0,"介绍度未验证","正式数据"))</x:f>
        <x:v>正式数据</x:v>
      </x:c>
    </x:row>
    <x:row r="38" ht="34" customHeight="1">
      <x:c r="A38" s="65" t="str">
        <x:v>Extended Sessions</x:v>
      </x:c>
      <x:c r="B38" s="169" t="str">
        <x:v>频率</x:v>
      </x:c>
      <x:c r="C38" s="67" t="n">
        <x:f>'标签覆盖率'!C38</x:f>
        <x:v>1</x:v>
      </x:c>
      <x:c r="D38" s="67" t="n">
        <x:f>'标签覆盖率'!D38</x:f>
        <x:v>10</x:v>
      </x:c>
      <x:c r="E38" s="68" t="n">
        <x:f>'标签覆盖率'!E38</x:f>
        <x:v>0.1</x:v>
      </x:c>
      <x:c r="F38" s="65" t="str">
        <x:f>'标签覆盖率'!F38</x:f>
        <x:v>极低覆盖</x:v>
      </x:c>
      <x:c r="G38" s="65" t="n">
        <x:f>COUNTIFS('标签介绍度'!$B$2:$B$172,A38,'标签介绍度'!$O$2:$O$172,"已验证")</x:f>
        <x:v>1</x:v>
      </x:c>
      <x:c r="H38" s="79" t="n">
        <x:f>IF(G38=0,"",AVERAGEIFS('标签介绍度'!$K$2:$K$172,'标签介绍度'!$B$2:$B$172,A38,'标签介绍度'!$O$2:$O$172,"已验证"))</x:f>
        <x:v>2</x:v>
      </x:c>
      <x:c r="I38" s="65" t="str">
        <x:f>IF(G38=0,"未验证",IF(H38&gt;=6,"高介绍",IF(H38&gt;=3,"中介绍","低介绍")))</x:f>
        <x:v>低介绍</x:v>
      </x:c>
      <x:c r="J38" s="65" t="str">
        <x:f>IF(G38=0,"C",IF(AND(E38&gt;=0.8,H38&gt;=6),"A",IF(AND(E38&gt;=0.5,H38&lt;6),"B1",IF(AND(E38&gt;=0.2,E38&lt;0.8,H38&gt;=6),"B2","C"))))</x:f>
        <x:v>C</x:v>
      </x:c>
      <x:c r="K38" s="65" t="str">
        <x:f>IF(J38="A","必要表达候选",IF(J38="B1","普及但弱介绍",IF(J38="B2","细分强介绍","次级 / 观察")))</x:f>
        <x:v>次级 / 观察</x:v>
      </x:c>
      <x:c r="L38" s="65" t="str">
        <x:f>"Coverage="&amp;E38&amp;"；Market Expression="&amp;H38&amp;"；按固定规则归入 "&amp;J38</x:f>
        <x:v>Coverage=0.1；Market Expression=2；按固定规则归入 C</x:v>
      </x:c>
      <x:c r="M38" s="65" t="str">
        <x:f>IF(D38&lt;10,"样本不足，不得作为正式结论",IF(G38=0,"介绍度未验证","正式数据"))</x:f>
        <x:v>正式数据</x:v>
      </x:c>
    </x:row>
  </x:sheetData>
  <x:conditionalFormatting sqref="J2:J38">
    <x:cfRule type="containsText" dxfId="2" priority="1" operator="containsText" text="A"/>
    <x:cfRule type="containsText" dxfId="3" priority="2" operator="containsText" text="B"/>
  </x:conditionalFormatting>
  <x:pageMargins left="0.7" right="0.7" top="0.75" bottom="0.75" header="0.3" footer="0.3"/>
  <x:tableParts count="1">
    <x:tablePart xmlns:r="http://schemas.openxmlformats.org/officeDocument/2006/relationships" r:id="Rf946ab97e8a140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0" hidden="0" customWidth="1"/>
    <x:col min="3" max="3" width="12" hidden="0" customWidth="1"/>
    <x:col min="4" max="4" width="12" hidden="0" customWidth="1"/>
    <x:col min="5" max="5" width="18" hidden="0" customWidth="1"/>
    <x:col min="6" max="6" width="46" hidden="0" customWidth="1"/>
    <x:col min="7" max="7" width="46" hidden="0" customWidth="1"/>
    <x:col min="8" max="8" width="12" hidden="0" customWidth="1"/>
    <x:col min="9" max="9" width="15" hidden="0" customWidth="1"/>
    <x:col min="10" max="10" width="14" hidden="0" customWidth="1"/>
    <x:col min="11" max="11" width="18" hidden="0" customWidth="1"/>
    <x:col min="12" max="12" width="14" hidden="0" customWidth="1"/>
    <x:col min="13" max="13" width="26" hidden="0" customWidth="1"/>
    <x:col min="14" max="14" width="26" hidden="0" customWidth="1"/>
    <x:col min="15" max="15" width="26" hidden="0" customWidth="1"/>
    <x:col min="16" max="16" width="26" hidden="0" customWidth="1"/>
    <x:col min="17" max="17" width="24" hidden="0" customWidth="1"/>
    <x:col min="18" max="18" width="18" hidden="0" customWidth="1"/>
    <x:col min="19" max="19" width="62" hidden="0" customWidth="1"/>
    <x:col min="20" max="20" width="24" hidden="0" customWidth="1"/>
  </x:cols>
  <x:sheetData>
    <x:row r="1" ht="40" customHeight="1">
      <x:c r="A1" s="16" t="str">
        <x:v>标签</x:v>
      </x:c>
      <x:c r="B1" s="16" t="str">
        <x:v>标签类型</x:v>
      </x:c>
      <x:c r="C1" s="16" t="str">
        <x:v>市场分类</x:v>
      </x:c>
      <x:c r="D1" s="16" t="str">
        <x:v>Coverage</x:v>
      </x:c>
      <x:c r="E1" s="16" t="str">
        <x:v>Market Expression</x:v>
      </x:c>
      <x:c r="F1" s="16" t="str">
        <x:v>支撑本品参数 / 结构</x:v>
      </x:c>
      <x:c r="G1" s="16" t="str">
        <x:v>主要竞品对比事实</x:v>
      </x:c>
      <x:c r="H1" s="16" t="str">
        <x:v>Direct Fit</x:v>
      </x:c>
      <x:c r="I1" s="16" t="str">
        <x:v>Differentiation</x:v>
      </x:c>
      <x:c r="J1" s="16" t="str">
        <x:v>Proofability</x:v>
      </x:c>
      <x:c r="K1" s="16" t="str">
        <x:v>Product Advantage</x:v>
      </x:c>
      <x:c r="L1" s="16" t="str">
        <x:v>产品关系等级</x:v>
      </x:c>
      <x:c r="M1" s="16" t="str">
        <x:v>最终人群</x:v>
      </x:c>
      <x:c r="N1" s="16" t="str">
        <x:v>最终场景</x:v>
      </x:c>
      <x:c r="O1" s="16" t="str">
        <x:v>最终用途</x:v>
      </x:c>
      <x:c r="P1" s="16" t="str">
        <x:v>最终频率</x:v>
      </x:c>
      <x:c r="Q1" s="16" t="str">
        <x:v>内容优先级</x:v>
      </x:c>
      <x:c r="R1" s="16" t="str">
        <x:v>是否进入最终 Listing</x:v>
      </x:c>
      <x:c r="S1" s="16" t="str">
        <x:v>最终理由</x:v>
      </x:c>
      <x:c r="T1" s="16" t="str">
        <x:v>数据状态</x:v>
      </x:c>
    </x:row>
    <x:row r="2" ht="56" customHeight="1">
      <x:c r="A2" s="207" t="str">
        <x:v>Gamers</x:v>
      </x:c>
      <x:c r="B2" s="171" t="str">
        <x:v>人群</x:v>
      </x:c>
      <x:c r="C2" s="87" t="str">
        <x:f>'标签分类'!J2</x:f>
        <x:v>A</x:v>
      </x:c>
      <x:c r="D2" s="88" t="n">
        <x:f>'标签分类'!E2</x:f>
        <x:v>1</x:v>
      </x:c>
      <x:c r="E2" s="89" t="n">
        <x:f>'标签分类'!H2</x:f>
        <x:v>8.4</x:v>
      </x:c>
      <x:c r="F2" s="86" t="str">
        <x:v>产品类型为电竞椅；袋装弹簧、透气面料、宽坐垫和按摩腰枕支持游戏坐用</x:v>
      </x:c>
      <x:c r="G2" s="86" t="str">
        <x:v>该标签覆盖 10/10 个有效竞品；具体 Listing 资源位证据见“标签介绍度”。</x:v>
      </x:c>
      <x:c r="H2" s="90" t="n">
        <x:v>2</x:v>
      </x:c>
      <x:c r="I2" s="90" t="n">
        <x:v>1</x:v>
      </x:c>
      <x:c r="J2" s="90" t="n">
        <x:v>2</x:v>
      </x:c>
      <x:c r="K2" s="90" t="n">
        <x:f>H2+I2+J2</x:f>
        <x:v>5</x:v>
      </x:c>
      <x:c r="L2" s="86" t="str">
        <x:f>IF(K2&gt;=5,"强",IF(K2&gt;=3,"中","弱"))</x:f>
        <x:v>强</x:v>
      </x:c>
      <x:c r="M2" s="86" t="str">
        <x:f>IF(B2="人群",A2,"")</x:f>
        <x:v>Gamers</x:v>
      </x:c>
      <x:c r="N2" s="86" t="str">
        <x:f>IF(B2="场景",A2,"")</x:f>
      </x:c>
      <x:c r="O2" s="86" t="str">
        <x:f>IF(B2="用途",A2,"")</x:f>
      </x:c>
      <x:c r="P2" s="86" t="str">
        <x:f>IF(B2="频率",A2,"")</x:f>
      </x:c>
      <x:c r="Q2" s="159" t="str">
        <x:f>IF(OR(H2=0,J2=0),"不采用 / 观察",IF(AND(C2="A",H2&gt;=1,J2&gt;=1),"优先级 1｜必须表达",IF(AND(OR(C2="B1",C2="B2"),K2&gt;=5,H2&gt;0),"优先级 2｜重点宣传",IF(AND(H2&gt;=1,J2&gt;=1),"优先级 3｜补充表达","不采用 / 观察"))))</x:f>
        <x:v>优先级 1｜必须表达</x:v>
      </x:c>
      <x:c r="R2" s="86" t="str">
        <x:f>IF(OR(Q2="优先级 1｜必须表达",Q2="优先级 2｜重点宣传",Q2="优先级 3｜补充表达"),"是","否")</x:f>
        <x:v>是</x:v>
      </x:c>
      <x:c r="S2" s="86" t="str">
        <x:f>"市场分类 "&amp;C2&amp;"；Product Advantage="&amp;K2&amp;"；"&amp;F2&amp;"；最终动作："&amp;Q2</x:f>
        <x:v>市场分类 A；Product Advantage=5；产品类型为电竞椅；袋装弹簧、透气面料、宽坐垫和按摩腰枕支持游戏坐用；最终动作：优先级 1｜必须表达</x:v>
      </x:c>
      <x:c r="T2" s="86" t="str">
        <x:f>IF('标签覆盖率'!$D$2&lt;10,"样本不足，不得作为正式结论","正式结论")</x:f>
        <x:v>正式结论</x:v>
      </x:c>
    </x:row>
    <x:row r="3" ht="56" customHeight="1">
      <x:c r="A3" s="208" t="str">
        <x:v>Gaming</x:v>
      </x:c>
      <x:c r="B3" s="165" t="str">
        <x:v>用途</x:v>
      </x:c>
      <x:c r="C3" s="82" t="str">
        <x:f>'标签分类'!J27</x:f>
        <x:v>A</x:v>
      </x:c>
      <x:c r="D3" s="83" t="n">
        <x:f>'标签分类'!E27</x:f>
        <x:v>1</x:v>
      </x:c>
      <x:c r="E3" s="84" t="n">
        <x:f>'标签分类'!H27</x:f>
        <x:v>9</x:v>
      </x:c>
      <x:c r="F3" s="81" t="str">
        <x:v>电竞椅产品类型与袋装弹簧、透气、宽坐垫、腰枕直接支持游戏</x:v>
      </x:c>
      <x:c r="G3" s="81" t="str">
        <x:v>该标签覆盖 10/10 个有效竞品；具体 Listing 资源位证据见“标签介绍度”。</x:v>
      </x:c>
      <x:c r="H3" s="85" t="n">
        <x:v>2</x:v>
      </x:c>
      <x:c r="I3" s="85" t="n">
        <x:v>1</x:v>
      </x:c>
      <x:c r="J3" s="85" t="n">
        <x:v>2</x:v>
      </x:c>
      <x:c r="K3" s="85" t="n">
        <x:f>H3+I3+J3</x:f>
        <x:v>5</x:v>
      </x:c>
      <x:c r="L3" s="81" t="str">
        <x:f>IF(K3&gt;=5,"强",IF(K3&gt;=3,"中","弱"))</x:f>
        <x:v>强</x:v>
      </x:c>
      <x:c r="M3" s="81" t="str">
        <x:f>IF(B3="人群",A3,"")</x:f>
      </x:c>
      <x:c r="N3" s="81" t="str">
        <x:f>IF(B3="场景",A3,"")</x:f>
      </x:c>
      <x:c r="O3" s="81" t="str">
        <x:f>IF(B3="用途",A3,"")</x:f>
        <x:v>Gaming</x:v>
      </x:c>
      <x:c r="P3" s="81" t="str">
        <x:f>IF(B3="频率",A3,"")</x:f>
      </x:c>
      <x:c r="Q3" s="161" t="str">
        <x:f>IF(OR(H3=0,J3=0),"不采用 / 观察",IF(AND(C3="A",H3&gt;=1,J3&gt;=1),"优先级 1｜必须表达",IF(AND(OR(C3="B1",C3="B2"),K3&gt;=5,H3&gt;0),"优先级 2｜重点宣传",IF(AND(H3&gt;=1,J3&gt;=1),"优先级 3｜补充表达","不采用 / 观察"))))</x:f>
        <x:v>优先级 1｜必须表达</x:v>
      </x:c>
      <x:c r="R3" s="81" t="str">
        <x:f>IF(OR(Q3="优先级 1｜必须表达",Q3="优先级 2｜重点宣传",Q3="优先级 3｜补充表达"),"是","否")</x:f>
        <x:v>是</x:v>
      </x:c>
      <x:c r="S3" s="81" t="str">
        <x:f>"市场分类 "&amp;C3&amp;"；Product Advantage="&amp;K3&amp;"；"&amp;F3&amp;"；最终动作："&amp;Q3</x:f>
        <x:v>市场分类 A；Product Advantage=5；电竞椅产品类型与袋装弹簧、透气、宽坐垫、腰枕直接支持游戏；最终动作：优先级 1｜必须表达</x:v>
      </x:c>
      <x:c r="T3" s="81" t="str">
        <x:f>IF('标签覆盖率'!$D$2&lt;10,"样本不足，不得作为正式结论","正式结论")</x:f>
        <x:v>正式结论</x:v>
      </x:c>
    </x:row>
    <x:row r="4" ht="56" customHeight="1">
      <x:c r="A4" s="208" t="str">
        <x:v>Relaxing</x:v>
      </x:c>
      <x:c r="B4" s="165" t="str">
        <x:v>用途</x:v>
      </x:c>
      <x:c r="C4" s="82" t="str">
        <x:f>'标签分类'!J28</x:f>
        <x:v>A</x:v>
      </x:c>
      <x:c r="D4" s="83" t="n">
        <x:f>'标签分类'!E28</x:f>
        <x:v>1</x:v>
      </x:c>
      <x:c r="E4" s="84" t="n">
        <x:f>'标签分类'!H28</x:f>
        <x:v>6.5</x:v>
      </x:c>
      <x:c r="F4" s="81" t="str">
        <x:v>135°后仰、可延展脚托与按摩腰枕直接支持放松</x:v>
      </x:c>
      <x:c r="G4" s="81" t="str">
        <x:v>该标签覆盖 10/10 个有效竞品；具体 Listing 资源位证据见“标签介绍度”。</x:v>
      </x:c>
      <x:c r="H4" s="85" t="n">
        <x:v>2</x:v>
      </x:c>
      <x:c r="I4" s="85" t="n">
        <x:v>1</x:v>
      </x:c>
      <x:c r="J4" s="85" t="n">
        <x:v>2</x:v>
      </x:c>
      <x:c r="K4" s="85" t="n">
        <x:f>H4+I4+J4</x:f>
        <x:v>5</x:v>
      </x:c>
      <x:c r="L4" s="81" t="str">
        <x:f>IF(K4&gt;=5,"强",IF(K4&gt;=3,"中","弱"))</x:f>
        <x:v>强</x:v>
      </x:c>
      <x:c r="M4" s="81" t="str">
        <x:f>IF(B4="人群",A4,"")</x:f>
      </x:c>
      <x:c r="N4" s="81" t="str">
        <x:f>IF(B4="场景",A4,"")</x:f>
      </x:c>
      <x:c r="O4" s="81" t="str">
        <x:f>IF(B4="用途",A4,"")</x:f>
        <x:v>Relaxing</x:v>
      </x:c>
      <x:c r="P4" s="81" t="str">
        <x:f>IF(B4="频率",A4,"")</x:f>
      </x:c>
      <x:c r="Q4" s="161" t="str">
        <x:f>IF(OR(H4=0,J4=0),"不采用 / 观察",IF(AND(C4="A",H4&gt;=1,J4&gt;=1),"优先级 1｜必须表达",IF(AND(OR(C4="B1",C4="B2"),K4&gt;=5,H4&gt;0),"优先级 2｜重点宣传",IF(AND(H4&gt;=1,J4&gt;=1),"优先级 3｜补充表达","不采用 / 观察"))))</x:f>
        <x:v>优先级 1｜必须表达</x:v>
      </x:c>
      <x:c r="R4" s="81" t="str">
        <x:f>IF(OR(Q4="优先级 1｜必须表达",Q4="优先级 2｜重点宣传",Q4="优先级 3｜补充表达"),"是","否")</x:f>
        <x:v>是</x:v>
      </x:c>
      <x:c r="S4" s="81" t="str">
        <x:f>"市场分类 "&amp;C4&amp;"；Product Advantage="&amp;K4&amp;"；"&amp;F4&amp;"；最终动作："&amp;Q4</x:f>
        <x:v>市场分类 A；Product Advantage=5；135°后仰、可延展脚托与按摩腰枕直接支持放松；最终动作：优先级 1｜必须表达</x:v>
      </x:c>
      <x:c r="T4" s="81" t="str">
        <x:f>IF('标签覆盖率'!$D$2&lt;10,"样本不足，不得作为正式结论","正式结论")</x:f>
        <x:v>正式结论</x:v>
      </x:c>
    </x:row>
    <x:row r="5" ht="56" customHeight="1">
      <x:c r="A5" s="209" t="str">
        <x:v>Office Workers</x:v>
      </x:c>
      <x:c r="B5" s="155" t="str">
        <x:v>人群</x:v>
      </x:c>
      <x:c r="C5" s="97" t="str">
        <x:f>'标签分类'!J3</x:f>
        <x:v>B1</x:v>
      </x:c>
      <x:c r="D5" s="98" t="n">
        <x:f>'标签分类'!E3</x:f>
        <x:v>1</x:v>
      </x:c>
      <x:c r="E5" s="99" t="n">
        <x:f>'标签分类'!H3</x:f>
        <x:v>0.1</x:v>
      </x:c>
      <x:c r="F5" s="96" t="str">
        <x:v>袋装弹簧、透气面料、腰枕与 90°–135°后仰支持办公与休息切换</x:v>
      </x:c>
      <x:c r="G5" s="96" t="str">
        <x:v>该标签覆盖 10/10 个有效竞品；具体 Listing 资源位证据见“标签介绍度”。</x:v>
      </x:c>
      <x:c r="H5" s="100" t="n">
        <x:v>2</x:v>
      </x:c>
      <x:c r="I5" s="100" t="n">
        <x:v>1</x:v>
      </x:c>
      <x:c r="J5" s="100" t="n">
        <x:v>2</x:v>
      </x:c>
      <x:c r="K5" s="100" t="n">
        <x:f>H5+I5+J5</x:f>
        <x:v>5</x:v>
      </x:c>
      <x:c r="L5" s="96" t="str">
        <x:f>IF(K5&gt;=5,"强",IF(K5&gt;=3,"中","弱"))</x:f>
        <x:v>强</x:v>
      </x:c>
      <x:c r="M5" s="96" t="str">
        <x:f>IF(B5="人群",A5,"")</x:f>
        <x:v>Office Workers</x:v>
      </x:c>
      <x:c r="N5" s="96" t="str">
        <x:f>IF(B5="场景",A5,"")</x:f>
      </x:c>
      <x:c r="O5" s="96" t="str">
        <x:f>IF(B5="用途",A5,"")</x:f>
      </x:c>
      <x:c r="P5" s="96" t="str">
        <x:f>IF(B5="频率",A5,"")</x:f>
      </x:c>
      <x:c r="Q5" s="155" t="str">
        <x:f>IF(OR(H5=0,J5=0),"不采用 / 观察",IF(AND(C5="A",H5&gt;=1,J5&gt;=1),"优先级 1｜必须表达",IF(AND(OR(C5="B1",C5="B2"),K5&gt;=5,H5&gt;0),"优先级 2｜重点宣传",IF(AND(H5&gt;=1,J5&gt;=1),"优先级 3｜补充表达","不采用 / 观察"))))</x:f>
        <x:v>优先级 2｜重点宣传</x:v>
      </x:c>
      <x:c r="R5" s="96" t="str">
        <x:f>IF(OR(Q5="优先级 1｜必须表达",Q5="优先级 2｜重点宣传",Q5="优先级 3｜补充表达"),"是","否")</x:f>
        <x:v>是</x:v>
      </x:c>
      <x:c r="S5" s="96" t="str">
        <x:f>"市场分类 "&amp;C5&amp;"；Product Advantage="&amp;K5&amp;"；"&amp;F5&amp;"；最终动作："&amp;Q5</x:f>
        <x:v>市场分类 B1；Product Advantage=5；袋装弹簧、透气面料、腰枕与 90°–135°后仰支持办公与休息切换；最终动作：优先级 2｜重点宣传</x:v>
      </x:c>
      <x:c r="T5" s="96" t="str">
        <x:f>IF('标签覆盖率'!$D$2&lt;10,"样本不足，不得作为正式结论","正式结论")</x:f>
        <x:v>正式结论</x:v>
      </x:c>
    </x:row>
    <x:row r="6" ht="56" customHeight="1">
      <x:c r="A6" s="210" t="str">
        <x:v>Comfort Seekers</x:v>
      </x:c>
      <x:c r="B6" s="157" t="str">
        <x:v>人群</x:v>
      </x:c>
      <x:c r="C6" s="92" t="str">
        <x:f>'标签分类'!J6</x:f>
        <x:v>B1</x:v>
      </x:c>
      <x:c r="D6" s="93" t="n">
        <x:f>'标签分类'!E6</x:f>
        <x:v>0.5</x:v>
      </x:c>
      <x:c r="E6" s="94" t="n">
        <x:f>'标签分类'!H6</x:f>
        <x:v>4.6</x:v>
      </x:c>
      <x:c r="F6" s="91" t="str">
        <x:v>袋装弹簧+透气科技布+加宽无侧翼+脚托形成多属性舒适方案</x:v>
      </x:c>
      <x:c r="G6" s="91" t="str">
        <x:v>主要竞品普遍具备弹簧/泡棉、透气材质、宽座与后仰等舒适结构。</x:v>
      </x:c>
      <x:c r="H6" s="95" t="n">
        <x:v>2</x:v>
      </x:c>
      <x:c r="I6" s="95" t="n">
        <x:v>2</x:v>
      </x:c>
      <x:c r="J6" s="95" t="n">
        <x:v>2</x:v>
      </x:c>
      <x:c r="K6" s="95" t="n">
        <x:f>H6+I6+J6</x:f>
        <x:v>6</x:v>
      </x:c>
      <x:c r="L6" s="91" t="str">
        <x:f>IF(K6&gt;=5,"强",IF(K6&gt;=3,"中","弱"))</x:f>
        <x:v>强</x:v>
      </x:c>
      <x:c r="M6" s="91" t="str">
        <x:f>IF(B6="人群",A6,"")</x:f>
        <x:v>Comfort Seekers</x:v>
      </x:c>
      <x:c r="N6" s="91" t="str">
        <x:f>IF(B6="场景",A6,"")</x:f>
      </x:c>
      <x:c r="O6" s="91" t="str">
        <x:f>IF(B6="用途",A6,"")</x:f>
      </x:c>
      <x:c r="P6" s="91" t="str">
        <x:f>IF(B6="频率",A6,"")</x:f>
      </x:c>
      <x:c r="Q6" s="157" t="str">
        <x:f>IF(OR(H6=0,J6=0),"不采用 / 观察",IF(AND(C6="A",H6&gt;=1,J6&gt;=1),"优先级 1｜必须表达",IF(AND(OR(C6="B1",C6="B2"),K6&gt;=5,H6&gt;0),"优先级 2｜重点宣传",IF(AND(H6&gt;=1,J6&gt;=1),"优先级 3｜补充表达","不采用 / 观察"))))</x:f>
        <x:v>优先级 2｜重点宣传</x:v>
      </x:c>
      <x:c r="R6" s="91" t="str">
        <x:f>IF(OR(Q6="优先级 1｜必须表达",Q6="优先级 2｜重点宣传",Q6="优先级 3｜补充表达"),"是","否")</x:f>
        <x:v>是</x:v>
      </x:c>
      <x:c r="S6" s="91" t="str">
        <x:f>"市场分类 "&amp;C6&amp;"；Product Advantage="&amp;K6&amp;"；"&amp;F6&amp;"；最终动作："&amp;Q6</x:f>
        <x:v>市场分类 B1；Product Advantage=6；袋装弹簧+透气科技布+加宽无侧翼+脚托形成多属性舒适方案；最终动作：优先级 2｜重点宣传</x:v>
      </x:c>
      <x:c r="T6" s="91" t="str">
        <x:f>IF('标签覆盖率'!$D$2&lt;10,"样本不足，不得作为正式结论","正式结论")</x:f>
        <x:v>正式结论</x:v>
      </x:c>
    </x:row>
    <x:row r="7" ht="56" customHeight="1">
      <x:c r="A7" s="210" t="str">
        <x:v>Remote Workers</x:v>
      </x:c>
      <x:c r="B7" s="157" t="str">
        <x:v>人群</x:v>
      </x:c>
      <x:c r="C7" s="92" t="str">
        <x:f>'标签分类'!J7</x:f>
        <x:v>B1</x:v>
      </x:c>
      <x:c r="D7" s="93" t="n">
        <x:f>'标签分类'!E7</x:f>
        <x:v>0.5</x:v>
      </x:c>
      <x:c r="E7" s="94" t="n">
        <x:f>'标签分类'!H7</x:f>
        <x:v>0.4</x:v>
      </x:c>
      <x:c r="F7" s="91" t="str">
        <x:v>本品明确面向居家办公，具有久坐承托、透气和工作/放松切换结构</x:v>
      </x:c>
      <x:c r="G7" s="91" t="str">
        <x:v>该标签覆盖 5/10 个有效竞品；具体 Listing 资源位证据见“标签介绍度”。</x:v>
      </x:c>
      <x:c r="H7" s="95" t="n">
        <x:v>2</x:v>
      </x:c>
      <x:c r="I7" s="95" t="n">
        <x:v>1</x:v>
      </x:c>
      <x:c r="J7" s="95" t="n">
        <x:v>2</x:v>
      </x:c>
      <x:c r="K7" s="95" t="n">
        <x:f>H7+I7+J7</x:f>
        <x:v>5</x:v>
      </x:c>
      <x:c r="L7" s="91" t="str">
        <x:f>IF(K7&gt;=5,"强",IF(K7&gt;=3,"中","弱"))</x:f>
        <x:v>强</x:v>
      </x:c>
      <x:c r="M7" s="91" t="str">
        <x:f>IF(B7="人群",A7,"")</x:f>
        <x:v>Remote Workers</x:v>
      </x:c>
      <x:c r="N7" s="91" t="str">
        <x:f>IF(B7="场景",A7,"")</x:f>
      </x:c>
      <x:c r="O7" s="91" t="str">
        <x:f>IF(B7="用途",A7,"")</x:f>
      </x:c>
      <x:c r="P7" s="91" t="str">
        <x:f>IF(B7="频率",A7,"")</x:f>
      </x:c>
      <x:c r="Q7" s="157" t="str">
        <x:f>IF(OR(H7=0,J7=0),"不采用 / 观察",IF(AND(C7="A",H7&gt;=1,J7&gt;=1),"优先级 1｜必须表达",IF(AND(OR(C7="B1",C7="B2"),K7&gt;=5,H7&gt;0),"优先级 2｜重点宣传",IF(AND(H7&gt;=1,J7&gt;=1),"优先级 3｜补充表达","不采用 / 观察"))))</x:f>
        <x:v>优先级 2｜重点宣传</x:v>
      </x:c>
      <x:c r="R7" s="91" t="str">
        <x:f>IF(OR(Q7="优先级 1｜必须表达",Q7="优先级 2｜重点宣传",Q7="优先级 3｜补充表达"),"是","否")</x:f>
        <x:v>是</x:v>
      </x:c>
      <x:c r="S7" s="91" t="str">
        <x:f>"市场分类 "&amp;C7&amp;"；Product Advantage="&amp;K7&amp;"；"&amp;F7&amp;"；最终动作："&amp;Q7</x:f>
        <x:v>市场分类 B1；Product Advantage=5；本品明确面向居家办公，具有久坐承托、透气和工作/放松切换结构；最终动作：优先级 2｜重点宣传</x:v>
      </x:c>
      <x:c r="T7" s="91" t="str">
        <x:f>IF('标签覆盖率'!$D$2&lt;10,"样本不足，不得作为正式结论","正式结论")</x:f>
        <x:v>正式结论</x:v>
      </x:c>
    </x:row>
    <x:row r="8" ht="56" customHeight="1">
      <x:c r="A8" s="210" t="str">
        <x:v>Office / Workspace</x:v>
      </x:c>
      <x:c r="B8" s="161" t="str">
        <x:v>场景</x:v>
      </x:c>
      <x:c r="C8" s="92" t="str">
        <x:f>'标签分类'!J20</x:f>
        <x:v>B1</x:v>
      </x:c>
      <x:c r="D8" s="93" t="n">
        <x:f>'标签分类'!E20</x:f>
        <x:v>1</x:v>
      </x:c>
      <x:c r="E8" s="94" t="n">
        <x:f>'标签分类'!H20</x:f>
        <x:v>3.7</x:v>
      </x:c>
      <x:c r="F8" s="91" t="str">
        <x:v>袋装弹簧、透气面料和腰枕直接支持桌面办公</x:v>
      </x:c>
      <x:c r="G8" s="91" t="str">
        <x:v>该标签覆盖 10/10 个有效竞品；具体 Listing 资源位证据见“标签介绍度”。</x:v>
      </x:c>
      <x:c r="H8" s="95" t="n">
        <x:v>2</x:v>
      </x:c>
      <x:c r="I8" s="95" t="n">
        <x:v>1</x:v>
      </x:c>
      <x:c r="J8" s="95" t="n">
        <x:v>2</x:v>
      </x:c>
      <x:c r="K8" s="95" t="n">
        <x:f>H8+I8+J8</x:f>
        <x:v>5</x:v>
      </x:c>
      <x:c r="L8" s="91" t="str">
        <x:f>IF(K8&gt;=5,"强",IF(K8&gt;=3,"中","弱"))</x:f>
        <x:v>强</x:v>
      </x:c>
      <x:c r="M8" s="91" t="str">
        <x:f>IF(B8="人群",A8,"")</x:f>
      </x:c>
      <x:c r="N8" s="91" t="str">
        <x:f>IF(B8="场景",A8,"")</x:f>
        <x:v>Office / Workspace</x:v>
      </x:c>
      <x:c r="O8" s="91" t="str">
        <x:f>IF(B8="用途",A8,"")</x:f>
      </x:c>
      <x:c r="P8" s="91" t="str">
        <x:f>IF(B8="频率",A8,"")</x:f>
      </x:c>
      <x:c r="Q8" s="157" t="str">
        <x:f>IF(OR(H8=0,J8=0),"不采用 / 观察",IF(AND(C8="A",H8&gt;=1,J8&gt;=1),"优先级 1｜必须表达",IF(AND(OR(C8="B1",C8="B2"),K8&gt;=5,H8&gt;0),"优先级 2｜重点宣传",IF(AND(H8&gt;=1,J8&gt;=1),"优先级 3｜补充表达","不采用 / 观察"))))</x:f>
        <x:v>优先级 2｜重点宣传</x:v>
      </x:c>
      <x:c r="R8" s="91" t="str">
        <x:f>IF(OR(Q8="优先级 1｜必须表达",Q8="优先级 2｜重点宣传",Q8="优先级 3｜补充表达"),"是","否")</x:f>
        <x:v>是</x:v>
      </x:c>
      <x:c r="S8" s="91" t="str">
        <x:f>"市场分类 "&amp;C8&amp;"；Product Advantage="&amp;K8&amp;"；"&amp;F8&amp;"；最终动作："&amp;Q8</x:f>
        <x:v>市场分类 B1；Product Advantage=5；袋装弹簧、透气面料和腰枕直接支持桌面办公；最终动作：优先级 2｜重点宣传</x:v>
      </x:c>
      <x:c r="T8" s="91" t="str">
        <x:f>IF('标签覆盖率'!$D$2&lt;10,"样本不足，不得作为正式结论","正式结论")</x:f>
        <x:v>正式结论</x:v>
      </x:c>
    </x:row>
    <x:row r="9" ht="56" customHeight="1">
      <x:c r="A9" s="210" t="str">
        <x:v>Entertainment / Leisure Space</x:v>
      </x:c>
      <x:c r="B9" s="161" t="str">
        <x:v>场景</x:v>
      </x:c>
      <x:c r="C9" s="92" t="str">
        <x:f>'标签分类'!J18</x:f>
        <x:v>B1</x:v>
      </x:c>
      <x:c r="D9" s="93" t="n">
        <x:f>'标签分类'!E18</x:f>
        <x:v>1</x:v>
      </x:c>
      <x:c r="E9" s="94" t="n">
        <x:f>'标签分类'!H18</x:f>
        <x:v>2.1</x:v>
      </x:c>
      <x:c r="F9" s="91" t="str">
        <x:v>135°后仰、脚托和按摩结构直接支持观影与休闲</x:v>
      </x:c>
      <x:c r="G9" s="91" t="str">
        <x:v>该标签覆盖 10/10 个有效竞品；具体 Listing 资源位证据见“标签介绍度”。</x:v>
      </x:c>
      <x:c r="H9" s="95" t="n">
        <x:v>2</x:v>
      </x:c>
      <x:c r="I9" s="95" t="n">
        <x:v>1</x:v>
      </x:c>
      <x:c r="J9" s="95" t="n">
        <x:v>2</x:v>
      </x:c>
      <x:c r="K9" s="95" t="n">
        <x:f>H9+I9+J9</x:f>
        <x:v>5</x:v>
      </x:c>
      <x:c r="L9" s="91" t="str">
        <x:f>IF(K9&gt;=5,"强",IF(K9&gt;=3,"中","弱"))</x:f>
        <x:v>强</x:v>
      </x:c>
      <x:c r="M9" s="91" t="str">
        <x:f>IF(B9="人群",A9,"")</x:f>
      </x:c>
      <x:c r="N9" s="91" t="str">
        <x:f>IF(B9="场景",A9,"")</x:f>
        <x:v>Entertainment / Leisure Space</x:v>
      </x:c>
      <x:c r="O9" s="91" t="str">
        <x:f>IF(B9="用途",A9,"")</x:f>
      </x:c>
      <x:c r="P9" s="91" t="str">
        <x:f>IF(B9="频率",A9,"")</x:f>
      </x:c>
      <x:c r="Q9" s="157" t="str">
        <x:f>IF(OR(H9=0,J9=0),"不采用 / 观察",IF(AND(C9="A",H9&gt;=1,J9&gt;=1),"优先级 1｜必须表达",IF(AND(OR(C9="B1",C9="B2"),K9&gt;=5,H9&gt;0),"优先级 2｜重点宣传",IF(AND(H9&gt;=1,J9&gt;=1),"优先级 3｜补充表达","不采用 / 观察"))))</x:f>
        <x:v>优先级 2｜重点宣传</x:v>
      </x:c>
      <x:c r="R9" s="91" t="str">
        <x:f>IF(OR(Q9="优先级 1｜必须表达",Q9="优先级 2｜重点宣传",Q9="优先级 3｜补充表达"),"是","否")</x:f>
        <x:v>是</x:v>
      </x:c>
      <x:c r="S9" s="91" t="str">
        <x:f>"市场分类 "&amp;C9&amp;"；Product Advantage="&amp;K9&amp;"；"&amp;F9&amp;"；最终动作："&amp;Q9</x:f>
        <x:v>市场分类 B1；Product Advantage=5；135°后仰、脚托和按摩结构直接支持观影与休闲；最终动作：优先级 2｜重点宣传</x:v>
      </x:c>
      <x:c r="T9" s="91" t="str">
        <x:f>IF('标签覆盖率'!$D$2&lt;10,"样本不足，不得作为正式结论","正式结论")</x:f>
        <x:v>正式结论</x:v>
      </x:c>
    </x:row>
    <x:row r="10" ht="56" customHeight="1">
      <x:c r="A10" s="210" t="str">
        <x:v>Home Office</x:v>
      </x:c>
      <x:c r="B10" s="161" t="str">
        <x:v>场景</x:v>
      </x:c>
      <x:c r="C10" s="92" t="str">
        <x:f>'标签分类'!J21</x:f>
        <x:v>B1</x:v>
      </x:c>
      <x:c r="D10" s="93" t="n">
        <x:f>'标签分类'!E21</x:f>
        <x:v>0.6</x:v>
      </x:c>
      <x:c r="E10" s="94" t="n">
        <x:f>'标签分类'!H21</x:f>
        <x:v>1.5</x:v>
      </x:c>
      <x:c r="F10" s="91" t="str">
        <x:v>久坐承托、透气和工作/放松切换结构直接适配居家办公</x:v>
      </x:c>
      <x:c r="G10" s="91" t="str">
        <x:v>该标签覆盖 6/10 个有效竞品；具体 Listing 资源位证据见“标签介绍度”。</x:v>
      </x:c>
      <x:c r="H10" s="95" t="n">
        <x:v>2</x:v>
      </x:c>
      <x:c r="I10" s="95" t="n">
        <x:v>1</x:v>
      </x:c>
      <x:c r="J10" s="95" t="n">
        <x:v>2</x:v>
      </x:c>
      <x:c r="K10" s="95" t="n">
        <x:f>H10+I10+J10</x:f>
        <x:v>5</x:v>
      </x:c>
      <x:c r="L10" s="91" t="str">
        <x:f>IF(K10&gt;=5,"强",IF(K10&gt;=3,"中","弱"))</x:f>
        <x:v>强</x:v>
      </x:c>
      <x:c r="M10" s="91" t="str">
        <x:f>IF(B10="人群",A10,"")</x:f>
      </x:c>
      <x:c r="N10" s="91" t="str">
        <x:f>IF(B10="场景",A10,"")</x:f>
        <x:v>Home Office</x:v>
      </x:c>
      <x:c r="O10" s="91" t="str">
        <x:f>IF(B10="用途",A10,"")</x:f>
      </x:c>
      <x:c r="P10" s="91" t="str">
        <x:f>IF(B10="频率",A10,"")</x:f>
      </x:c>
      <x:c r="Q10" s="157" t="str">
        <x:f>IF(OR(H10=0,J10=0),"不采用 / 观察",IF(AND(C10="A",H10&gt;=1,J10&gt;=1),"优先级 1｜必须表达",IF(AND(OR(C10="B1",C10="B2"),K10&gt;=5,H10&gt;0),"优先级 2｜重点宣传",IF(AND(H10&gt;=1,J10&gt;=1),"优先级 3｜补充表达","不采用 / 观察"))))</x:f>
        <x:v>优先级 2｜重点宣传</x:v>
      </x:c>
      <x:c r="R10" s="91" t="str">
        <x:f>IF(OR(Q10="优先级 1｜必须表达",Q10="优先级 2｜重点宣传",Q10="优先级 3｜补充表达"),"是","否")</x:f>
        <x:v>是</x:v>
      </x:c>
      <x:c r="S10" s="91" t="str">
        <x:f>"市场分类 "&amp;C10&amp;"；Product Advantage="&amp;K10&amp;"；"&amp;F10&amp;"；最终动作："&amp;Q10</x:f>
        <x:v>市场分类 B1；Product Advantage=5；久坐承托、透气和工作/放松切换结构直接适配居家办公；最终动作：优先级 2｜重点宣传</x:v>
      </x:c>
      <x:c r="T10" s="91" t="str">
        <x:f>IF('标签覆盖率'!$D$2&lt;10,"样本不足，不得作为正式结论","正式结论")</x:f>
        <x:v>正式结论</x:v>
      </x:c>
    </x:row>
    <x:row r="11" ht="56" customHeight="1">
      <x:c r="A11" s="210" t="str">
        <x:v>Work</x:v>
      </x:c>
      <x:c r="B11" s="165" t="str">
        <x:v>用途</x:v>
      </x:c>
      <x:c r="C11" s="92" t="str">
        <x:f>'标签分类'!J29</x:f>
        <x:v>B1</x:v>
      </x:c>
      <x:c r="D11" s="93" t="n">
        <x:f>'标签分类'!E29</x:f>
        <x:v>1</x:v>
      </x:c>
      <x:c r="E11" s="94" t="n">
        <x:f>'标签分类'!H29</x:f>
        <x:v>5</x:v>
      </x:c>
      <x:c r="F11" s="91" t="str">
        <x:v>弹簧承托、透气面料和腰枕支持办公，135°后仰+脚托支持间歇休息</x:v>
      </x:c>
      <x:c r="G11" s="91" t="str">
        <x:v>该标签覆盖 10/10 个有效竞品；具体 Listing 资源位证据见“标签介绍度”。</x:v>
      </x:c>
      <x:c r="H11" s="95" t="n">
        <x:v>2</x:v>
      </x:c>
      <x:c r="I11" s="95" t="n">
        <x:v>1</x:v>
      </x:c>
      <x:c r="J11" s="95" t="n">
        <x:v>2</x:v>
      </x:c>
      <x:c r="K11" s="95" t="n">
        <x:f>H11+I11+J11</x:f>
        <x:v>5</x:v>
      </x:c>
      <x:c r="L11" s="91" t="str">
        <x:f>IF(K11&gt;=5,"强",IF(K11&gt;=3,"中","弱"))</x:f>
        <x:v>强</x:v>
      </x:c>
      <x:c r="M11" s="91" t="str">
        <x:f>IF(B11="人群",A11,"")</x:f>
      </x:c>
      <x:c r="N11" s="91" t="str">
        <x:f>IF(B11="场景",A11,"")</x:f>
      </x:c>
      <x:c r="O11" s="91" t="str">
        <x:f>IF(B11="用途",A11,"")</x:f>
        <x:v>Work</x:v>
      </x:c>
      <x:c r="P11" s="91" t="str">
        <x:f>IF(B11="频率",A11,"")</x:f>
      </x:c>
      <x:c r="Q11" s="157" t="str">
        <x:f>IF(OR(H11=0,J11=0),"不采用 / 观察",IF(AND(C11="A",H11&gt;=1,J11&gt;=1),"优先级 1｜必须表达",IF(AND(OR(C11="B1",C11="B2"),K11&gt;=5,H11&gt;0),"优先级 2｜重点宣传",IF(AND(H11&gt;=1,J11&gt;=1),"优先级 3｜补充表达","不采用 / 观察"))))</x:f>
        <x:v>优先级 2｜重点宣传</x:v>
      </x:c>
      <x:c r="R11" s="91" t="str">
        <x:f>IF(OR(Q11="优先级 1｜必须表达",Q11="优先级 2｜重点宣传",Q11="优先级 3｜补充表达"),"是","否")</x:f>
        <x:v>是</x:v>
      </x:c>
      <x:c r="S11" s="91" t="str">
        <x:f>"市场分类 "&amp;C11&amp;"；Product Advantage="&amp;K11&amp;"；"&amp;F11&amp;"；最终动作："&amp;Q11</x:f>
        <x:v>市场分类 B1；Product Advantage=5；弹簧承托、透气面料和腰枕支持办公，135°后仰+脚托支持间歇休息；最终动作：优先级 2｜重点宣传</x:v>
      </x:c>
      <x:c r="T11" s="91" t="str">
        <x:f>IF('标签覆盖率'!$D$2&lt;10,"样本不足，不得作为正式结论","正式结论")</x:f>
        <x:v>正式结论</x:v>
      </x:c>
    </x:row>
    <x:row r="12" ht="56" customHeight="1">
      <x:c r="A12" s="210" t="str">
        <x:v>Reading</x:v>
      </x:c>
      <x:c r="B12" s="165" t="str">
        <x:v>用途</x:v>
      </x:c>
      <x:c r="C12" s="92" t="str">
        <x:f>'标签分类'!J31</x:f>
        <x:v>B1</x:v>
      </x:c>
      <x:c r="D12" s="93" t="n">
        <x:f>'标签分类'!E31</x:f>
        <x:v>0.7</x:v>
      </x:c>
      <x:c r="E12" s="94" t="n">
        <x:f>'标签分类'!H31</x:f>
        <x:v>0.42857142857142855</x:v>
      </x:c>
      <x:c r="F12" s="91" t="str">
        <x:v>135°后仰、脚托和头腰支撑直接支持阅读放松</x:v>
      </x:c>
      <x:c r="G12" s="91" t="str">
        <x:v>该标签覆盖 7/10 个有效竞品；具体 Listing 资源位证据见“标签介绍度”。</x:v>
      </x:c>
      <x:c r="H12" s="95" t="n">
        <x:v>2</x:v>
      </x:c>
      <x:c r="I12" s="95" t="n">
        <x:v>1</x:v>
      </x:c>
      <x:c r="J12" s="95" t="n">
        <x:v>2</x:v>
      </x:c>
      <x:c r="K12" s="95" t="n">
        <x:f>H12+I12+J12</x:f>
        <x:v>5</x:v>
      </x:c>
      <x:c r="L12" s="91" t="str">
        <x:f>IF(K12&gt;=5,"强",IF(K12&gt;=3,"中","弱"))</x:f>
        <x:v>强</x:v>
      </x:c>
      <x:c r="M12" s="91" t="str">
        <x:f>IF(B12="人群",A12,"")</x:f>
      </x:c>
      <x:c r="N12" s="91" t="str">
        <x:f>IF(B12="场景",A12,"")</x:f>
      </x:c>
      <x:c r="O12" s="91" t="str">
        <x:f>IF(B12="用途",A12,"")</x:f>
        <x:v>Reading</x:v>
      </x:c>
      <x:c r="P12" s="91" t="str">
        <x:f>IF(B12="频率",A12,"")</x:f>
      </x:c>
      <x:c r="Q12" s="157" t="str">
        <x:f>IF(OR(H12=0,J12=0),"不采用 / 观察",IF(AND(C12="A",H12&gt;=1,J12&gt;=1),"优先级 1｜必须表达",IF(AND(OR(C12="B1",C12="B2"),K12&gt;=5,H12&gt;0),"优先级 2｜重点宣传",IF(AND(H12&gt;=1,J12&gt;=1),"优先级 3｜补充表达","不采用 / 观察"))))</x:f>
        <x:v>优先级 2｜重点宣传</x:v>
      </x:c>
      <x:c r="R12" s="91" t="str">
        <x:f>IF(OR(Q12="优先级 1｜必须表达",Q12="优先级 2｜重点宣传",Q12="优先级 3｜补充表达"),"是","否")</x:f>
        <x:v>是</x:v>
      </x:c>
      <x:c r="S12" s="91" t="str">
        <x:f>"市场分类 "&amp;C12&amp;"；Product Advantage="&amp;K12&amp;"；"&amp;F12&amp;"；最终动作："&amp;Q12</x:f>
        <x:v>市场分类 B1；Product Advantage=5；135°后仰、脚托和头腰支撑直接支持阅读放松；最终动作：优先级 2｜重点宣传</x:v>
      </x:c>
      <x:c r="T12" s="91" t="str">
        <x:f>IF('标签覆盖率'!$D$2&lt;10,"样本不足，不得作为正式结论","正式结论")</x:f>
        <x:v>正式结论</x:v>
      </x:c>
    </x:row>
    <x:row r="13" ht="56" customHeight="1">
      <x:c r="A13" s="211" t="str">
        <x:v>Big &amp; Tall Users</x:v>
      </x:c>
      <x:c r="B13" s="181" t="str">
        <x:v>人群</x:v>
      </x:c>
      <x:c r="C13" s="107" t="str">
        <x:f>'标签分类'!J4</x:f>
        <x:v>B2</x:v>
      </x:c>
      <x:c r="D13" s="108" t="n">
        <x:f>'标签分类'!E4</x:f>
        <x:v>0.6</x:v>
      </x:c>
      <x:c r="E13" s="109" t="n">
        <x:f>'标签分类'!H4</x:f>
        <x:v>6.666666666666667</x:v>
      </x:c>
      <x:c r="F13" s="106" t="str">
        <x:v>27%加宽无侧翼坐垫可增加腿部空间；未提供最大承重或身高适配范围</x:v>
      </x:c>
      <x:c r="G13" s="106" t="str">
        <x:v>主要竞品明确使用 350–500 lbs 承重、加宽座面/靠背证明大体型适配；本品未提供承重上限。</x:v>
      </x:c>
      <x:c r="H13" s="110" t="n">
        <x:v>1</x:v>
      </x:c>
      <x:c r="I13" s="110" t="n">
        <x:v>1</x:v>
      </x:c>
      <x:c r="J13" s="110" t="n">
        <x:v>2</x:v>
      </x:c>
      <x:c r="K13" s="110" t="n">
        <x:f>H13+I13+J13</x:f>
        <x:v>4</x:v>
      </x:c>
      <x:c r="L13" s="106" t="str">
        <x:f>IF(K13&gt;=5,"强",IF(K13&gt;=3,"中","弱"))</x:f>
        <x:v>中</x:v>
      </x:c>
      <x:c r="M13" s="106" t="str">
        <x:f>IF(B13="人群",A13,"")</x:f>
        <x:v>Big &amp; Tall Users</x:v>
      </x:c>
      <x:c r="N13" s="106" t="str">
        <x:f>IF(B13="场景",A13,"")</x:f>
      </x:c>
      <x:c r="O13" s="106" t="str">
        <x:f>IF(B13="用途",A13,"")</x:f>
      </x:c>
      <x:c r="P13" s="106" t="str">
        <x:f>IF(B13="频率",A13,"")</x:f>
      </x:c>
      <x:c r="Q13" s="184" t="str">
        <x:f>IF(OR(H13=0,J13=0),"不采用 / 观察",IF(AND(C13="A",H13&gt;=1,J13&gt;=1),"优先级 1｜必须表达",IF(AND(OR(C13="B1",C13="B2"),K13&gt;=5,H13&gt;0),"优先级 2｜重点宣传",IF(AND(H13&gt;=1,J13&gt;=1),"优先级 3｜补充表达","不采用 / 观察"))))</x:f>
        <x:v>优先级 3｜补充表达</x:v>
      </x:c>
      <x:c r="R13" s="106" t="str">
        <x:f>IF(OR(Q13="优先级 1｜必须表达",Q13="优先级 2｜重点宣传",Q13="优先级 3｜补充表达"),"是","否")</x:f>
        <x:v>是</x:v>
      </x:c>
      <x:c r="S13" s="106" t="str">
        <x:f>"市场分类 "&amp;C13&amp;"；Product Advantage="&amp;K13&amp;"；"&amp;F13&amp;"；最终动作："&amp;Q13</x:f>
        <x:v>市场分类 B2；Product Advantage=4；27%加宽无侧翼坐垫可增加腿部空间；未提供最大承重或身高适配范围；最终动作：优先级 3｜补充表达</x:v>
      </x:c>
      <x:c r="T13" s="106" t="str">
        <x:f>IF('标签覆盖率'!$D$2&lt;10,"样本不足，不得作为正式结论","正式结论")</x:f>
        <x:v>正式结论</x:v>
      </x:c>
    </x:row>
    <x:row r="14" ht="56" customHeight="1">
      <x:c r="A14" s="212" t="str">
        <x:v>Content Creators / Streamers</x:v>
      </x:c>
      <x:c r="B14" s="157" t="str">
        <x:v>人群</x:v>
      </x:c>
      <x:c r="C14" s="102" t="str">
        <x:f>'标签分类'!J5</x:f>
        <x:v>B1</x:v>
      </x:c>
      <x:c r="D14" s="103" t="n">
        <x:f>'标签分类'!E5</x:f>
        <x:v>0.6</x:v>
      </x:c>
      <x:c r="E14" s="104" t="n">
        <x:f>'标签分类'!H5</x:f>
        <x:v>1</x:v>
      </x:c>
      <x:c r="F14" s="101" t="str">
        <x:v>座椅功能可间接支持桌面创作，但未提供直播/创作专属结构</x:v>
      </x:c>
      <x:c r="G14" s="101" t="str">
        <x:v>该标签覆盖 6/10 个有效竞品；具体 Listing 资源位证据见“标签介绍度”。</x:v>
      </x:c>
      <x:c r="H14" s="105" t="n">
        <x:v>1</x:v>
      </x:c>
      <x:c r="I14" s="105" t="n">
        <x:v>0</x:v>
      </x:c>
      <x:c r="J14" s="105" t="n">
        <x:v>1</x:v>
      </x:c>
      <x:c r="K14" s="105" t="n">
        <x:f>H14+I14+J14</x:f>
        <x:v>2</x:v>
      </x:c>
      <x:c r="L14" s="101" t="str">
        <x:f>IF(K14&gt;=5,"强",IF(K14&gt;=3,"中","弱"))</x:f>
        <x:v>弱</x:v>
      </x:c>
      <x:c r="M14" s="101" t="str">
        <x:f>IF(B14="人群",A14,"")</x:f>
        <x:v>Content Creators / Streamers</x:v>
      </x:c>
      <x:c r="N14" s="101" t="str">
        <x:f>IF(B14="场景",A14,"")</x:f>
      </x:c>
      <x:c r="O14" s="101" t="str">
        <x:f>IF(B14="用途",A14,"")</x:f>
      </x:c>
      <x:c r="P14" s="101" t="str">
        <x:f>IF(B14="频率",A14,"")</x:f>
      </x:c>
      <x:c r="Q14" s="187" t="str">
        <x:f>IF(OR(H14=0,J14=0),"不采用 / 观察",IF(AND(C14="A",H14&gt;=1,J14&gt;=1),"优先级 1｜必须表达",IF(AND(OR(C14="B1",C14="B2"),K14&gt;=5,H14&gt;0),"优先级 2｜重点宣传",IF(AND(H14&gt;=1,J14&gt;=1),"优先级 3｜补充表达","不采用 / 观察"))))</x:f>
        <x:v>优先级 3｜补充表达</x:v>
      </x:c>
      <x:c r="R14" s="101" t="str">
        <x:f>IF(OR(Q14="优先级 1｜必须表达",Q14="优先级 2｜重点宣传",Q14="优先级 3｜补充表达"),"是","否")</x:f>
        <x:v>是</x:v>
      </x:c>
      <x:c r="S14" s="101" t="str">
        <x:f>"市场分类 "&amp;C14&amp;"；Product Advantage="&amp;K14&amp;"；"&amp;F14&amp;"；最终动作："&amp;Q14</x:f>
        <x:v>市场分类 B1；Product Advantage=2；座椅功能可间接支持桌面创作，但未提供直播/创作专属结构；最终动作：优先级 3｜补充表达</x:v>
      </x:c>
      <x:c r="T14" s="101" t="str">
        <x:f>IF('标签覆盖率'!$D$2&lt;10,"样本不足，不得作为正式结论","正式结论")</x:f>
        <x:v>正式结论</x:v>
      </x:c>
    </x:row>
    <x:row r="15" ht="56" customHeight="1">
      <x:c r="A15" s="212" t="str">
        <x:v>Students</x:v>
      </x:c>
      <x:c r="B15" s="157" t="str">
        <x:v>人群</x:v>
      </x:c>
      <x:c r="C15" s="102" t="str">
        <x:f>'标签分类'!J8</x:f>
        <x:v>C</x:v>
      </x:c>
      <x:c r="D15" s="103" t="n">
        <x:f>'标签分类'!E8</x:f>
        <x:v>0.4</x:v>
      </x:c>
      <x:c r="E15" s="104" t="n">
        <x:f>'标签分类'!H8</x:f>
        <x:v>0.5</x:v>
      </x:c>
      <x:c r="F15" s="101" t="str">
        <x:v>可用于学习坐姿，但没有学生专属尺寸或功能证据</x:v>
      </x:c>
      <x:c r="G15" s="101" t="str">
        <x:v>该标签覆盖 4/10 个有效竞品；具体 Listing 资源位证据见“标签介绍度”。</x:v>
      </x:c>
      <x:c r="H15" s="105" t="n">
        <x:v>1</x:v>
      </x:c>
      <x:c r="I15" s="105" t="n">
        <x:v>0</x:v>
      </x:c>
      <x:c r="J15" s="105" t="n">
        <x:v>1</x:v>
      </x:c>
      <x:c r="K15" s="105" t="n">
        <x:f>H15+I15+J15</x:f>
        <x:v>2</x:v>
      </x:c>
      <x:c r="L15" s="101" t="str">
        <x:f>IF(K15&gt;=5,"强",IF(K15&gt;=3,"中","弱"))</x:f>
        <x:v>弱</x:v>
      </x:c>
      <x:c r="M15" s="101" t="str">
        <x:f>IF(B15="人群",A15,"")</x:f>
        <x:v>Students</x:v>
      </x:c>
      <x:c r="N15" s="101" t="str">
        <x:f>IF(B15="场景",A15,"")</x:f>
      </x:c>
      <x:c r="O15" s="101" t="str">
        <x:f>IF(B15="用途",A15,"")</x:f>
      </x:c>
      <x:c r="P15" s="101" t="str">
        <x:f>IF(B15="频率",A15,"")</x:f>
      </x:c>
      <x:c r="Q15" s="187" t="str">
        <x:f>IF(OR(H15=0,J15=0),"不采用 / 观察",IF(AND(C15="A",H15&gt;=1,J15&gt;=1),"优先级 1｜必须表达",IF(AND(OR(C15="B1",C15="B2"),K15&gt;=5,H15&gt;0),"优先级 2｜重点宣传",IF(AND(H15&gt;=1,J15&gt;=1),"优先级 3｜补充表达","不采用 / 观察"))))</x:f>
        <x:v>优先级 3｜补充表达</x:v>
      </x:c>
      <x:c r="R15" s="101" t="str">
        <x:f>IF(OR(Q15="优先级 1｜必须表达",Q15="优先级 2｜重点宣传",Q15="优先级 3｜补充表达"),"是","否")</x:f>
        <x:v>是</x:v>
      </x:c>
      <x:c r="S15" s="101" t="str">
        <x:f>"市场分类 "&amp;C15&amp;"；Product Advantage="&amp;K15&amp;"；"&amp;F15&amp;"；最终动作："&amp;Q15</x:f>
        <x:v>市场分类 C；Product Advantage=2；可用于学习坐姿，但没有学生专属尺寸或功能证据；最终动作：优先级 3｜补充表达</x:v>
      </x:c>
      <x:c r="T15" s="101" t="str">
        <x:f>IF('标签覆盖率'!$D$2&lt;10,"样本不足，不得作为正式结论","正式结论")</x:f>
        <x:v>正式结论</x:v>
      </x:c>
    </x:row>
    <x:row r="16" ht="56" customHeight="1">
      <x:c r="A16" s="212" t="str">
        <x:v>Back Support Seekers</x:v>
      </x:c>
      <x:c r="B16" s="157" t="str">
        <x:v>人群</x:v>
      </x:c>
      <x:c r="C16" s="102" t="str">
        <x:f>'标签分类'!J9</x:f>
        <x:v>C</x:v>
      </x:c>
      <x:c r="D16" s="103" t="n">
        <x:f>'标签分类'!E9</x:f>
        <x:v>0.3</x:v>
      </x:c>
      <x:c r="E16" s="104" t="n">
        <x:f>'标签分类'!H9</x:f>
        <x:v>4.666666666666667</x:v>
      </x:c>
      <x:c r="F16" s="101" t="str">
        <x:v>震动按摩腰枕、可滑动头枕和袋装弹簧提供可证明的腰背承托</x:v>
      </x:c>
      <x:c r="G16" s="101" t="str">
        <x:v>竞品普遍使用按摩腰靠、加热/震动、人体工学支撑表达，部分强调缓解压力或疲劳。</x:v>
      </x:c>
      <x:c r="H16" s="105" t="n">
        <x:v>2</x:v>
      </x:c>
      <x:c r="I16" s="105" t="n">
        <x:v>1</x:v>
      </x:c>
      <x:c r="J16" s="105" t="n">
        <x:v>2</x:v>
      </x:c>
      <x:c r="K16" s="105" t="n">
        <x:f>H16+I16+J16</x:f>
        <x:v>5</x:v>
      </x:c>
      <x:c r="L16" s="101" t="str">
        <x:f>IF(K16&gt;=5,"强",IF(K16&gt;=3,"中","弱"))</x:f>
        <x:v>强</x:v>
      </x:c>
      <x:c r="M16" s="101" t="str">
        <x:f>IF(B16="人群",A16,"")</x:f>
        <x:v>Back Support Seekers</x:v>
      </x:c>
      <x:c r="N16" s="101" t="str">
        <x:f>IF(B16="场景",A16,"")</x:f>
      </x:c>
      <x:c r="O16" s="101" t="str">
        <x:f>IF(B16="用途",A16,"")</x:f>
      </x:c>
      <x:c r="P16" s="101" t="str">
        <x:f>IF(B16="频率",A16,"")</x:f>
      </x:c>
      <x:c r="Q16" s="187" t="str">
        <x:f>IF(OR(H16=0,J16=0),"不采用 / 观察",IF(AND(C16="A",H16&gt;=1,J16&gt;=1),"优先级 1｜必须表达",IF(AND(OR(C16="B1",C16="B2"),K16&gt;=5,H16&gt;0),"优先级 2｜重点宣传",IF(AND(H16&gt;=1,J16&gt;=1),"优先级 3｜补充表达","不采用 / 观察"))))</x:f>
        <x:v>优先级 3｜补充表达</x:v>
      </x:c>
      <x:c r="R16" s="101" t="str">
        <x:f>IF(OR(Q16="优先级 1｜必须表达",Q16="优先级 2｜重点宣传",Q16="优先级 3｜补充表达"),"是","否")</x:f>
        <x:v>是</x:v>
      </x:c>
      <x:c r="S16" s="101" t="str">
        <x:f>"市场分类 "&amp;C16&amp;"；Product Advantage="&amp;K16&amp;"；"&amp;F16&amp;"；最终动作："&amp;Q16</x:f>
        <x:v>市场分类 C；Product Advantage=5；震动按摩腰枕、可滑动头枕和袋装弹簧提供可证明的腰背承托；最终动作：优先级 3｜补充表达</x:v>
      </x:c>
      <x:c r="T16" s="101" t="str">
        <x:f>IF('标签覆盖率'!$D$2&lt;10,"样本不足，不得作为正式结论","正式结论")</x:f>
        <x:v>正式结论</x:v>
      </x:c>
    </x:row>
    <x:row r="17" ht="56" customHeight="1">
      <x:c r="A17" s="212" t="str">
        <x:v>Relaxation Seekers</x:v>
      </x:c>
      <x:c r="B17" s="157" t="str">
        <x:v>人群</x:v>
      </x:c>
      <x:c r="C17" s="102" t="str">
        <x:f>'标签分类'!J10</x:f>
        <x:v>C</x:v>
      </x:c>
      <x:c r="D17" s="103" t="n">
        <x:f>'标签分类'!E10</x:f>
        <x:v>0.2</x:v>
      </x:c>
      <x:c r="E17" s="104" t="n">
        <x:f>'标签分类'!H10</x:f>
        <x:v>5</x:v>
      </x:c>
      <x:c r="F17" s="101" t="str">
        <x:v>135°后仰、可延展脚托、按摩腰枕支持放松</x:v>
      </x:c>
      <x:c r="G17" s="101" t="str">
        <x:v>该标签覆盖 2/10 个有效竞品；具体 Listing 资源位证据见“标签介绍度”。</x:v>
      </x:c>
      <x:c r="H17" s="105" t="n">
        <x:v>2</x:v>
      </x:c>
      <x:c r="I17" s="105" t="n">
        <x:v>1</x:v>
      </x:c>
      <x:c r="J17" s="105" t="n">
        <x:v>2</x:v>
      </x:c>
      <x:c r="K17" s="105" t="n">
        <x:f>H17+I17+J17</x:f>
        <x:v>5</x:v>
      </x:c>
      <x:c r="L17" s="101" t="str">
        <x:f>IF(K17&gt;=5,"强",IF(K17&gt;=3,"中","弱"))</x:f>
        <x:v>强</x:v>
      </x:c>
      <x:c r="M17" s="101" t="str">
        <x:f>IF(B17="人群",A17,"")</x:f>
        <x:v>Relaxation Seekers</x:v>
      </x:c>
      <x:c r="N17" s="101" t="str">
        <x:f>IF(B17="场景",A17,"")</x:f>
      </x:c>
      <x:c r="O17" s="101" t="str">
        <x:f>IF(B17="用途",A17,"")</x:f>
      </x:c>
      <x:c r="P17" s="101" t="str">
        <x:f>IF(B17="频率",A17,"")</x:f>
      </x:c>
      <x:c r="Q17" s="187" t="str">
        <x:f>IF(OR(H17=0,J17=0),"不采用 / 观察",IF(AND(C17="A",H17&gt;=1,J17&gt;=1),"优先级 1｜必须表达",IF(AND(OR(C17="B1",C17="B2"),K17&gt;=5,H17&gt;0),"优先级 2｜重点宣传",IF(AND(H17&gt;=1,J17&gt;=1),"优先级 3｜补充表达","不采用 / 观察"))))</x:f>
        <x:v>优先级 3｜补充表达</x:v>
      </x:c>
      <x:c r="R17" s="101" t="str">
        <x:f>IF(OR(Q17="优先级 1｜必须表达",Q17="优先级 2｜重点宣传",Q17="优先级 3｜补充表达"),"是","否")</x:f>
        <x:v>是</x:v>
      </x:c>
      <x:c r="S17" s="101" t="str">
        <x:f>"市场分类 "&amp;C17&amp;"；Product Advantage="&amp;K17&amp;"；"&amp;F17&amp;"；最终动作："&amp;Q17</x:f>
        <x:v>市场分类 C；Product Advantage=5；135°后仰、可延展脚托、按摩腰枕支持放松；最终动作：优先级 3｜补充表达</x:v>
      </x:c>
      <x:c r="T17" s="101" t="str">
        <x:f>IF('标签覆盖率'!$D$2&lt;10,"样本不足，不得作为正式结论","正式结论")</x:f>
        <x:v>正式结论</x:v>
      </x:c>
    </x:row>
    <x:row r="18" ht="56" customHeight="1">
      <x:c r="A18" s="212" t="str">
        <x:v>Health-Feature Seekers</x:v>
      </x:c>
      <x:c r="B18" s="157" t="str">
        <x:v>人群</x:v>
      </x:c>
      <x:c r="C18" s="102" t="str">
        <x:f>'标签分类'!J13</x:f>
        <x:v>C</x:v>
      </x:c>
      <x:c r="D18" s="103" t="n">
        <x:f>'标签分类'!E13</x:f>
        <x:v>0.1</x:v>
      </x:c>
      <x:c r="E18" s="104" t="n">
        <x:f>'标签分类'!H13</x:f>
        <x:v>6</x:v>
      </x:c>
      <x:c r="F18" s="101" t="str">
        <x:v>震动按摩腰枕和透气/承托结构可直接证明健康舒适功能</x:v>
      </x:c>
      <x:c r="G18" s="101" t="str">
        <x:v>该标签覆盖 1/10 个有效竞品；具体 Listing 资源位证据见“标签介绍度”。</x:v>
      </x:c>
      <x:c r="H18" s="105" t="n">
        <x:v>2</x:v>
      </x:c>
      <x:c r="I18" s="105" t="n">
        <x:v>1</x:v>
      </x:c>
      <x:c r="J18" s="105" t="n">
        <x:v>2</x:v>
      </x:c>
      <x:c r="K18" s="105" t="n">
        <x:f>H18+I18+J18</x:f>
        <x:v>5</x:v>
      </x:c>
      <x:c r="L18" s="101" t="str">
        <x:f>IF(K18&gt;=5,"强",IF(K18&gt;=3,"中","弱"))</x:f>
        <x:v>强</x:v>
      </x:c>
      <x:c r="M18" s="101" t="str">
        <x:f>IF(B18="人群",A18,"")</x:f>
        <x:v>Health-Feature Seekers</x:v>
      </x:c>
      <x:c r="N18" s="101" t="str">
        <x:f>IF(B18="场景",A18,"")</x:f>
      </x:c>
      <x:c r="O18" s="101" t="str">
        <x:f>IF(B18="用途",A18,"")</x:f>
      </x:c>
      <x:c r="P18" s="101" t="str">
        <x:f>IF(B18="频率",A18,"")</x:f>
      </x:c>
      <x:c r="Q18" s="187" t="str">
        <x:f>IF(OR(H18=0,J18=0),"不采用 / 观察",IF(AND(C18="A",H18&gt;=1,J18&gt;=1),"优先级 1｜必须表达",IF(AND(OR(C18="B1",C18="B2"),K18&gt;=5,H18&gt;0),"优先级 2｜重点宣传",IF(AND(H18&gt;=1,J18&gt;=1),"优先级 3｜补充表达","不采用 / 观察"))))</x:f>
        <x:v>优先级 3｜补充表达</x:v>
      </x:c>
      <x:c r="R18" s="101" t="str">
        <x:f>IF(OR(Q18="优先级 1｜必须表达",Q18="优先级 2｜重点宣传",Q18="优先级 3｜补充表达"),"是","否")</x:f>
        <x:v>是</x:v>
      </x:c>
      <x:c r="S18" s="101" t="str">
        <x:f>"市场分类 "&amp;C18&amp;"；Product Advantage="&amp;K18&amp;"；"&amp;F18&amp;"；最终动作："&amp;Q18</x:f>
        <x:v>市场分类 C；Product Advantage=5；震动按摩腰枕和透气/承托结构可直接证明健康舒适功能；最终动作：优先级 3｜补充表达</x:v>
      </x:c>
      <x:c r="T18" s="101" t="str">
        <x:f>IF('标签覆盖率'!$D$2&lt;10,"样本不足，不得作为正式结论","正式结论")</x:f>
        <x:v>正式结论</x:v>
      </x:c>
    </x:row>
    <x:row r="19" ht="56" customHeight="1">
      <x:c r="A19" s="212" t="str">
        <x:v>Readers</x:v>
      </x:c>
      <x:c r="B19" s="157" t="str">
        <x:v>人群</x:v>
      </x:c>
      <x:c r="C19" s="102" t="str">
        <x:f>'标签分类'!J15</x:f>
        <x:v>C</x:v>
      </x:c>
      <x:c r="D19" s="103" t="n">
        <x:f>'标签分类'!E15</x:f>
        <x:v>0.1</x:v>
      </x:c>
      <x:c r="E19" s="104" t="n">
        <x:f>'标签分类'!H15</x:f>
        <x:v>0</x:v>
      </x:c>
      <x:c r="F19" s="101" t="str">
        <x:v>135°后仰和脚托可间接支持阅读，未提供阅读专属事实</x:v>
      </x:c>
      <x:c r="G19" s="101" t="str">
        <x:v>该标签覆盖 1/10 个有效竞品；具体 Listing 资源位证据见“标签介绍度”。</x:v>
      </x:c>
      <x:c r="H19" s="105" t="n">
        <x:v>1</x:v>
      </x:c>
      <x:c r="I19" s="105" t="n">
        <x:v>0</x:v>
      </x:c>
      <x:c r="J19" s="105" t="n">
        <x:v>1</x:v>
      </x:c>
      <x:c r="K19" s="105" t="n">
        <x:f>H19+I19+J19</x:f>
        <x:v>2</x:v>
      </x:c>
      <x:c r="L19" s="101" t="str">
        <x:f>IF(K19&gt;=5,"强",IF(K19&gt;=3,"中","弱"))</x:f>
        <x:v>弱</x:v>
      </x:c>
      <x:c r="M19" s="101" t="str">
        <x:f>IF(B19="人群",A19,"")</x:f>
        <x:v>Readers</x:v>
      </x:c>
      <x:c r="N19" s="101" t="str">
        <x:f>IF(B19="场景",A19,"")</x:f>
      </x:c>
      <x:c r="O19" s="101" t="str">
        <x:f>IF(B19="用途",A19,"")</x:f>
      </x:c>
      <x:c r="P19" s="101" t="str">
        <x:f>IF(B19="频率",A19,"")</x:f>
      </x:c>
      <x:c r="Q19" s="187" t="str">
        <x:f>IF(OR(H19=0,J19=0),"不采用 / 观察",IF(AND(C19="A",H19&gt;=1,J19&gt;=1),"优先级 1｜必须表达",IF(AND(OR(C19="B1",C19="B2"),K19&gt;=5,H19&gt;0),"优先级 2｜重点宣传",IF(AND(H19&gt;=1,J19&gt;=1),"优先级 3｜补充表达","不采用 / 观察"))))</x:f>
        <x:v>优先级 3｜补充表达</x:v>
      </x:c>
      <x:c r="R19" s="101" t="str">
        <x:f>IF(OR(Q19="优先级 1｜必须表达",Q19="优先级 2｜重点宣传",Q19="优先级 3｜补充表达"),"是","否")</x:f>
        <x:v>是</x:v>
      </x:c>
      <x:c r="S19" s="101" t="str">
        <x:f>"市场分类 "&amp;C19&amp;"；Product Advantage="&amp;K19&amp;"；"&amp;F19&amp;"；最终动作："&amp;Q19</x:f>
        <x:v>市场分类 C；Product Advantage=2；135°后仰和脚托可间接支持阅读，未提供阅读专属事实；最终动作：优先级 3｜补充表达</x:v>
      </x:c>
      <x:c r="T19" s="101" t="str">
        <x:f>IF('标签覆盖率'!$D$2&lt;10,"样本不足，不得作为正式结论","正式结论")</x:f>
        <x:v>正式结论</x:v>
      </x:c>
    </x:row>
    <x:row r="20" ht="56" customHeight="1">
      <x:c r="A20" s="212" t="str">
        <x:v>Gaming Room / Setup</x:v>
      </x:c>
      <x:c r="B20" s="161" t="str">
        <x:v>场景</x:v>
      </x:c>
      <x:c r="C20" s="102" t="str">
        <x:f>'标签分类'!J19</x:f>
        <x:v>B1</x:v>
      </x:c>
      <x:c r="D20" s="103" t="n">
        <x:f>'标签分类'!E19</x:f>
        <x:v>1</x:v>
      </x:c>
      <x:c r="E20" s="104" t="n">
        <x:f>'标签分类'!H19</x:f>
        <x:v>1.4</x:v>
      </x:c>
      <x:c r="F20" s="101" t="str">
        <x:v>产品类型和核心卖点适配游戏空间，但缺少空间布置参数</x:v>
      </x:c>
      <x:c r="G20" s="101" t="str">
        <x:v>该标签覆盖 10/10 个有效竞品；具体 Listing 资源位证据见“标签介绍度”。</x:v>
      </x:c>
      <x:c r="H20" s="105" t="n">
        <x:v>1</x:v>
      </x:c>
      <x:c r="I20" s="105" t="n">
        <x:v>1</x:v>
      </x:c>
      <x:c r="J20" s="105" t="n">
        <x:v>1</x:v>
      </x:c>
      <x:c r="K20" s="105" t="n">
        <x:f>H20+I20+J20</x:f>
        <x:v>3</x:v>
      </x:c>
      <x:c r="L20" s="101" t="str">
        <x:f>IF(K20&gt;=5,"强",IF(K20&gt;=3,"中","弱"))</x:f>
        <x:v>中</x:v>
      </x:c>
      <x:c r="M20" s="101" t="str">
        <x:f>IF(B20="人群",A20,"")</x:f>
      </x:c>
      <x:c r="N20" s="101" t="str">
        <x:f>IF(B20="场景",A20,"")</x:f>
        <x:v>Gaming Room / Setup</x:v>
      </x:c>
      <x:c r="O20" s="101" t="str">
        <x:f>IF(B20="用途",A20,"")</x:f>
      </x:c>
      <x:c r="P20" s="101" t="str">
        <x:f>IF(B20="频率",A20,"")</x:f>
      </x:c>
      <x:c r="Q20" s="187" t="str">
        <x:f>IF(OR(H20=0,J20=0),"不采用 / 观察",IF(AND(C20="A",H20&gt;=1,J20&gt;=1),"优先级 1｜必须表达",IF(AND(OR(C20="B1",C20="B2"),K20&gt;=5,H20&gt;0),"优先级 2｜重点宣传",IF(AND(H20&gt;=1,J20&gt;=1),"优先级 3｜补充表达","不采用 / 观察"))))</x:f>
        <x:v>优先级 3｜补充表达</x:v>
      </x:c>
      <x:c r="R20" s="101" t="str">
        <x:f>IF(OR(Q20="优先级 1｜必须表达",Q20="优先级 2｜重点宣传",Q20="优先级 3｜补充表达"),"是","否")</x:f>
        <x:v>是</x:v>
      </x:c>
      <x:c r="S20" s="101" t="str">
        <x:f>"市场分类 "&amp;C20&amp;"；Product Advantage="&amp;K20&amp;"；"&amp;F20&amp;"；最终动作："&amp;Q20</x:f>
        <x:v>市场分类 B1；Product Advantage=3；产品类型和核心卖点适配游戏空间，但缺少空间布置参数；最终动作：优先级 3｜补充表达</x:v>
      </x:c>
      <x:c r="T20" s="101" t="str">
        <x:f>IF('标签覆盖率'!$D$2&lt;10,"样本不足，不得作为正式结论","正式结论")</x:f>
        <x:v>正式结论</x:v>
      </x:c>
    </x:row>
    <x:row r="21" ht="56" customHeight="1">
      <x:c r="A21" s="212" t="str">
        <x:v>Streaming / Content Creation Setup</x:v>
      </x:c>
      <x:c r="B21" s="161" t="str">
        <x:v>场景</x:v>
      </x:c>
      <x:c r="C21" s="102" t="str">
        <x:f>'标签分类'!J22</x:f>
        <x:v>B1</x:v>
      </x:c>
      <x:c r="D21" s="103" t="n">
        <x:f>'标签分类'!E22</x:f>
        <x:v>0.5</x:v>
      </x:c>
      <x:c r="E21" s="104" t="n">
        <x:f>'标签分类'!H22</x:f>
        <x:v>1</x:v>
      </x:c>
      <x:c r="F21" s="101" t="str">
        <x:v>可作为电脑椅使用，但无直播/创作空间专属结构</x:v>
      </x:c>
      <x:c r="G21" s="101" t="str">
        <x:v>该标签覆盖 5/10 个有效竞品；具体 Listing 资源位证据见“标签介绍度”。</x:v>
      </x:c>
      <x:c r="H21" s="105" t="n">
        <x:v>1</x:v>
      </x:c>
      <x:c r="I21" s="105" t="n">
        <x:v>0</x:v>
      </x:c>
      <x:c r="J21" s="105" t="n">
        <x:v>1</x:v>
      </x:c>
      <x:c r="K21" s="105" t="n">
        <x:f>H21+I21+J21</x:f>
        <x:v>2</x:v>
      </x:c>
      <x:c r="L21" s="101" t="str">
        <x:f>IF(K21&gt;=5,"强",IF(K21&gt;=3,"中","弱"))</x:f>
        <x:v>弱</x:v>
      </x:c>
      <x:c r="M21" s="101" t="str">
        <x:f>IF(B21="人群",A21,"")</x:f>
      </x:c>
      <x:c r="N21" s="101" t="str">
        <x:f>IF(B21="场景",A21,"")</x:f>
        <x:v>Streaming / Content Creation Setup</x:v>
      </x:c>
      <x:c r="O21" s="101" t="str">
        <x:f>IF(B21="用途",A21,"")</x:f>
      </x:c>
      <x:c r="P21" s="101" t="str">
        <x:f>IF(B21="频率",A21,"")</x:f>
      </x:c>
      <x:c r="Q21" s="187" t="str">
        <x:f>IF(OR(H21=0,J21=0),"不采用 / 观察",IF(AND(C21="A",H21&gt;=1,J21&gt;=1),"优先级 1｜必须表达",IF(AND(OR(C21="B1",C21="B2"),K21&gt;=5,H21&gt;0),"优先级 2｜重点宣传",IF(AND(H21&gt;=1,J21&gt;=1),"优先级 3｜补充表达","不采用 / 观察"))))</x:f>
        <x:v>优先级 3｜补充表达</x:v>
      </x:c>
      <x:c r="R21" s="101" t="str">
        <x:f>IF(OR(Q21="优先级 1｜必须表达",Q21="优先级 2｜重点宣传",Q21="优先级 3｜补充表达"),"是","否")</x:f>
        <x:v>是</x:v>
      </x:c>
      <x:c r="S21" s="101" t="str">
        <x:f>"市场分类 "&amp;C21&amp;"；Product Advantage="&amp;K21&amp;"；"&amp;F21&amp;"；最终动作："&amp;Q21</x:f>
        <x:v>市场分类 B1；Product Advantage=2；可作为电脑椅使用，但无直播/创作空间专属结构；最终动作：优先级 3｜补充表达</x:v>
      </x:c>
      <x:c r="T21" s="101" t="str">
        <x:f>IF('标签覆盖率'!$D$2&lt;10,"样本不足，不得作为正式结论","正式结论")</x:f>
        <x:v>正式结论</x:v>
      </x:c>
    </x:row>
    <x:row r="22" ht="56" customHeight="1">
      <x:c r="A22" s="212" t="str">
        <x:v>Study Area</x:v>
      </x:c>
      <x:c r="B22" s="161" t="str">
        <x:v>场景</x:v>
      </x:c>
      <x:c r="C22" s="102" t="str">
        <x:f>'标签分类'!J23</x:f>
        <x:v>B1</x:v>
      </x:c>
      <x:c r="D22" s="103" t="n">
        <x:f>'标签分类'!E23</x:f>
        <x:v>0.5</x:v>
      </x:c>
      <x:c r="E22" s="104" t="n">
        <x:f>'标签分类'!H23</x:f>
        <x:v>0.4</x:v>
      </x:c>
      <x:c r="F22" s="101" t="str">
        <x:v>可间接支持学习坐姿，缺少学习场景专属证明</x:v>
      </x:c>
      <x:c r="G22" s="101" t="str">
        <x:v>该标签覆盖 5/10 个有效竞品；具体 Listing 资源位证据见“标签介绍度”。</x:v>
      </x:c>
      <x:c r="H22" s="105" t="n">
        <x:v>1</x:v>
      </x:c>
      <x:c r="I22" s="105" t="n">
        <x:v>0</x:v>
      </x:c>
      <x:c r="J22" s="105" t="n">
        <x:v>1</x:v>
      </x:c>
      <x:c r="K22" s="105" t="n">
        <x:f>H22+I22+J22</x:f>
        <x:v>2</x:v>
      </x:c>
      <x:c r="L22" s="101" t="str">
        <x:f>IF(K22&gt;=5,"强",IF(K22&gt;=3,"中","弱"))</x:f>
        <x:v>弱</x:v>
      </x:c>
      <x:c r="M22" s="101" t="str">
        <x:f>IF(B22="人群",A22,"")</x:f>
      </x:c>
      <x:c r="N22" s="101" t="str">
        <x:f>IF(B22="场景",A22,"")</x:f>
        <x:v>Study Area</x:v>
      </x:c>
      <x:c r="O22" s="101" t="str">
        <x:f>IF(B22="用途",A22,"")</x:f>
      </x:c>
      <x:c r="P22" s="101" t="str">
        <x:f>IF(B22="频率",A22,"")</x:f>
      </x:c>
      <x:c r="Q22" s="187" t="str">
        <x:f>IF(OR(H22=0,J22=0),"不采用 / 观察",IF(AND(C22="A",H22&gt;=1,J22&gt;=1),"优先级 1｜必须表达",IF(AND(OR(C22="B1",C22="B2"),K22&gt;=5,H22&gt;0),"优先级 2｜重点宣传",IF(AND(H22&gt;=1,J22&gt;=1),"优先级 3｜补充表达","不采用 / 观察"))))</x:f>
        <x:v>优先级 3｜补充表达</x:v>
      </x:c>
      <x:c r="R22" s="101" t="str">
        <x:f>IF(OR(Q22="优先级 1｜必须表达",Q22="优先级 2｜重点宣传",Q22="优先级 3｜补充表达"),"是","否")</x:f>
        <x:v>是</x:v>
      </x:c>
      <x:c r="S22" s="101" t="str">
        <x:f>"市场分类 "&amp;C22&amp;"；Product Advantage="&amp;K22&amp;"；"&amp;F22&amp;"；最终动作："&amp;Q22</x:f>
        <x:v>市场分类 B1；Product Advantage=2；可间接支持学习坐姿，缺少学习场景专属证明；最终动作：优先级 3｜补充表达</x:v>
      </x:c>
      <x:c r="T22" s="101" t="str">
        <x:f>IF('标签覆盖率'!$D$2&lt;10,"样本不足，不得作为正式结论","正式结论")</x:f>
        <x:v>正式结论</x:v>
      </x:c>
    </x:row>
    <x:row r="23" ht="56" customHeight="1">
      <x:c r="A23" s="212" t="str">
        <x:v>Bedroom</x:v>
      </x:c>
      <x:c r="B23" s="161" t="str">
        <x:v>场景</x:v>
      </x:c>
      <x:c r="C23" s="102" t="str">
        <x:f>'标签分类'!J24</x:f>
        <x:v>C</x:v>
      </x:c>
      <x:c r="D23" s="103" t="n">
        <x:f>'标签分类'!E24</x:f>
        <x:v>0.4</x:v>
      </x:c>
      <x:c r="E23" s="104" t="n">
        <x:f>'标签分类'!H24</x:f>
        <x:v>0.25</x:v>
      </x:c>
      <x:c r="F23" s="101" t="str">
        <x:v>后仰和脚托可支持卧室休闲，但缺少小空间/卧室适配证据</x:v>
      </x:c>
      <x:c r="G23" s="101" t="str">
        <x:v>该标签覆盖 4/10 个有效竞品；具体 Listing 资源位证据见“标签介绍度”。</x:v>
      </x:c>
      <x:c r="H23" s="105" t="n">
        <x:v>1</x:v>
      </x:c>
      <x:c r="I23" s="105" t="n">
        <x:v>0</x:v>
      </x:c>
      <x:c r="J23" s="105" t="n">
        <x:v>1</x:v>
      </x:c>
      <x:c r="K23" s="105" t="n">
        <x:f>H23+I23+J23</x:f>
        <x:v>2</x:v>
      </x:c>
      <x:c r="L23" s="101" t="str">
        <x:f>IF(K23&gt;=5,"强",IF(K23&gt;=3,"中","弱"))</x:f>
        <x:v>弱</x:v>
      </x:c>
      <x:c r="M23" s="101" t="str">
        <x:f>IF(B23="人群",A23,"")</x:f>
      </x:c>
      <x:c r="N23" s="101" t="str">
        <x:f>IF(B23="场景",A23,"")</x:f>
        <x:v>Bedroom</x:v>
      </x:c>
      <x:c r="O23" s="101" t="str">
        <x:f>IF(B23="用途",A23,"")</x:f>
      </x:c>
      <x:c r="P23" s="101" t="str">
        <x:f>IF(B23="频率",A23,"")</x:f>
      </x:c>
      <x:c r="Q23" s="187" t="str">
        <x:f>IF(OR(H23=0,J23=0),"不采用 / 观察",IF(AND(C23="A",H23&gt;=1,J23&gt;=1),"优先级 1｜必须表达",IF(AND(OR(C23="B1",C23="B2"),K23&gt;=5,H23&gt;0),"优先级 2｜重点宣传",IF(AND(H23&gt;=1,J23&gt;=1),"优先级 3｜补充表达","不采用 / 观察"))))</x:f>
        <x:v>优先级 3｜补充表达</x:v>
      </x:c>
      <x:c r="R23" s="101" t="str">
        <x:f>IF(OR(Q23="优先级 1｜必须表达",Q23="优先级 2｜重点宣传",Q23="优先级 3｜补充表达"),"是","否")</x:f>
        <x:v>是</x:v>
      </x:c>
      <x:c r="S23" s="101" t="str">
        <x:f>"市场分类 "&amp;C23&amp;"；Product Advantage="&amp;K23&amp;"；"&amp;F23&amp;"；最终动作："&amp;Q23</x:f>
        <x:v>市场分类 C；Product Advantage=2；后仰和脚托可支持卧室休闲，但缺少小空间/卧室适配证据；最终动作：优先级 3｜补充表达</x:v>
      </x:c>
      <x:c r="T23" s="101" t="str">
        <x:f>IF('标签覆盖率'!$D$2&lt;10,"样本不足，不得作为正式结论","正式结论")</x:f>
        <x:v>正式结论</x:v>
      </x:c>
    </x:row>
    <x:row r="24" ht="56" customHeight="1">
      <x:c r="A24" s="212" t="str">
        <x:v>Late-Night Use</x:v>
      </x:c>
      <x:c r="B24" s="161" t="str">
        <x:v>场景</x:v>
      </x:c>
      <x:c r="C24" s="102" t="str">
        <x:f>'标签分类'!J25</x:f>
        <x:v>C</x:v>
      </x:c>
      <x:c r="D24" s="103" t="n">
        <x:f>'标签分类'!E25</x:f>
        <x:v>0.1</x:v>
      </x:c>
      <x:c r="E24" s="104" t="n">
        <x:f>'标签分类'!H25</x:f>
        <x:v>1</x:v>
      </x:c>
      <x:c r="F24" s="101" t="str">
        <x:v>透气和久坐承托可间接支持深夜使用，未提供静音或照明相关证据</x:v>
      </x:c>
      <x:c r="G24" s="101" t="str">
        <x:v>该标签覆盖 1/10 个有效竞品；具体 Listing 资源位证据见“标签介绍度”。</x:v>
      </x:c>
      <x:c r="H24" s="105" t="n">
        <x:v>1</x:v>
      </x:c>
      <x:c r="I24" s="105" t="n">
        <x:v>1</x:v>
      </x:c>
      <x:c r="J24" s="105" t="n">
        <x:v>1</x:v>
      </x:c>
      <x:c r="K24" s="105" t="n">
        <x:f>H24+I24+J24</x:f>
        <x:v>3</x:v>
      </x:c>
      <x:c r="L24" s="101" t="str">
        <x:f>IF(K24&gt;=5,"强",IF(K24&gt;=3,"中","弱"))</x:f>
        <x:v>中</x:v>
      </x:c>
      <x:c r="M24" s="101" t="str">
        <x:f>IF(B24="人群",A24,"")</x:f>
      </x:c>
      <x:c r="N24" s="101" t="str">
        <x:f>IF(B24="场景",A24,"")</x:f>
        <x:v>Late-Night Use</x:v>
      </x:c>
      <x:c r="O24" s="101" t="str">
        <x:f>IF(B24="用途",A24,"")</x:f>
      </x:c>
      <x:c r="P24" s="101" t="str">
        <x:f>IF(B24="频率",A24,"")</x:f>
      </x:c>
      <x:c r="Q24" s="187" t="str">
        <x:f>IF(OR(H24=0,J24=0),"不采用 / 观察",IF(AND(C24="A",H24&gt;=1,J24&gt;=1),"优先级 1｜必须表达",IF(AND(OR(C24="B1",C24="B2"),K24&gt;=5,H24&gt;0),"优先级 2｜重点宣传",IF(AND(H24&gt;=1,J24&gt;=1),"优先级 3｜补充表达","不采用 / 观察"))))</x:f>
        <x:v>优先级 3｜补充表达</x:v>
      </x:c>
      <x:c r="R24" s="101" t="str">
        <x:f>IF(OR(Q24="优先级 1｜必须表达",Q24="优先级 2｜重点宣传",Q24="优先级 3｜补充表达"),"是","否")</x:f>
        <x:v>是</x:v>
      </x:c>
      <x:c r="S24" s="101" t="str">
        <x:f>"市场分类 "&amp;C24&amp;"；Product Advantage="&amp;K24&amp;"；"&amp;F24&amp;"；最终动作："&amp;Q24</x:f>
        <x:v>市场分类 C；Product Advantage=3；透气和久坐承托可间接支持深夜使用，未提供静音或照明相关证据；最终动作：优先级 3｜补充表达</x:v>
      </x:c>
      <x:c r="T24" s="101" t="str">
        <x:f>IF('标签覆盖率'!$D$2&lt;10,"样本不足，不得作为正式结论","正式结论")</x:f>
        <x:v>正式结论</x:v>
      </x:c>
    </x:row>
    <x:row r="25" ht="56" customHeight="1">
      <x:c r="A25" s="212" t="str">
        <x:v>Computer Use</x:v>
      </x:c>
      <x:c r="B25" s="165" t="str">
        <x:v>用途</x:v>
      </x:c>
      <x:c r="C25" s="102" t="str">
        <x:f>'标签分类'!J30</x:f>
        <x:v>B1</x:v>
      </x:c>
      <x:c r="D25" s="103" t="n">
        <x:f>'标签分类'!E30</x:f>
        <x:v>0.8</x:v>
      </x:c>
      <x:c r="E25" s="104" t="n">
        <x:f>'标签分类'!H30</x:f>
        <x:v>2.5</x:v>
      </x:c>
      <x:c r="F25" s="101" t="str">
        <x:v>产品可作为电脑椅使用，承托与透气提供间接支持</x:v>
      </x:c>
      <x:c r="G25" s="101" t="str">
        <x:v>该标签覆盖 8/10 个有效竞品；具体 Listing 资源位证据见“标签介绍度”。</x:v>
      </x:c>
      <x:c r="H25" s="105" t="n">
        <x:v>1</x:v>
      </x:c>
      <x:c r="I25" s="105" t="n">
        <x:v>1</x:v>
      </x:c>
      <x:c r="J25" s="105" t="n">
        <x:v>1</x:v>
      </x:c>
      <x:c r="K25" s="105" t="n">
        <x:f>H25+I25+J25</x:f>
        <x:v>3</x:v>
      </x:c>
      <x:c r="L25" s="101" t="str">
        <x:f>IF(K25&gt;=5,"强",IF(K25&gt;=3,"中","弱"))</x:f>
        <x:v>中</x:v>
      </x:c>
      <x:c r="M25" s="101" t="str">
        <x:f>IF(B25="人群",A25,"")</x:f>
      </x:c>
      <x:c r="N25" s="101" t="str">
        <x:f>IF(B25="场景",A25,"")</x:f>
      </x:c>
      <x:c r="O25" s="101" t="str">
        <x:f>IF(B25="用途",A25,"")</x:f>
        <x:v>Computer Use</x:v>
      </x:c>
      <x:c r="P25" s="101" t="str">
        <x:f>IF(B25="频率",A25,"")</x:f>
      </x:c>
      <x:c r="Q25" s="187" t="str">
        <x:f>IF(OR(H25=0,J25=0),"不采用 / 观察",IF(AND(C25="A",H25&gt;=1,J25&gt;=1),"优先级 1｜必须表达",IF(AND(OR(C25="B1",C25="B2"),K25&gt;=5,H25&gt;0),"优先级 2｜重点宣传",IF(AND(H25&gt;=1,J25&gt;=1),"优先级 3｜补充表达","不采用 / 观察"))))</x:f>
        <x:v>优先级 3｜补充表达</x:v>
      </x:c>
      <x:c r="R25" s="101" t="str">
        <x:f>IF(OR(Q25="优先级 1｜必须表达",Q25="优先级 2｜重点宣传",Q25="优先级 3｜补充表达"),"是","否")</x:f>
        <x:v>是</x:v>
      </x:c>
      <x:c r="S25" s="101" t="str">
        <x:f>"市场分类 "&amp;C25&amp;"；Product Advantage="&amp;K25&amp;"；"&amp;F25&amp;"；最终动作："&amp;Q25</x:f>
        <x:v>市场分类 B1；Product Advantage=3；产品可作为电脑椅使用，承托与透气提供间接支持；最终动作：优先级 3｜补充表达</x:v>
      </x:c>
      <x:c r="T25" s="101" t="str">
        <x:f>IF('标签覆盖率'!$D$2&lt;10,"样本不足，不得作为正式结论","正式结论")</x:f>
        <x:v>正式结论</x:v>
      </x:c>
    </x:row>
    <x:row r="26" ht="56" customHeight="1">
      <x:c r="A26" s="212" t="str">
        <x:v>Streaming / Content Creation</x:v>
      </x:c>
      <x:c r="B26" s="165" t="str">
        <x:v>用途</x:v>
      </x:c>
      <x:c r="C26" s="102" t="str">
        <x:f>'标签分类'!J33</x:f>
        <x:v>C</x:v>
      </x:c>
      <x:c r="D26" s="103" t="n">
        <x:f>'标签分类'!E33</x:f>
        <x:v>0.2</x:v>
      </x:c>
      <x:c r="E26" s="104" t="n">
        <x:f>'标签分类'!H33</x:f>
        <x:v>2.5</x:v>
      </x:c>
      <x:c r="F26" s="101" t="str">
        <x:v>可支持电脑坐用，但无直播/内容创作专属功能</x:v>
      </x:c>
      <x:c r="G26" s="101" t="str">
        <x:v>该标签覆盖 2/10 个有效竞品；具体 Listing 资源位证据见“标签介绍度”。</x:v>
      </x:c>
      <x:c r="H26" s="105" t="n">
        <x:v>1</x:v>
      </x:c>
      <x:c r="I26" s="105" t="n">
        <x:v>0</x:v>
      </x:c>
      <x:c r="J26" s="105" t="n">
        <x:v>1</x:v>
      </x:c>
      <x:c r="K26" s="105" t="n">
        <x:f>H26+I26+J26</x:f>
        <x:v>2</x:v>
      </x:c>
      <x:c r="L26" s="101" t="str">
        <x:f>IF(K26&gt;=5,"强",IF(K26&gt;=3,"中","弱"))</x:f>
        <x:v>弱</x:v>
      </x:c>
      <x:c r="M26" s="101" t="str">
        <x:f>IF(B26="人群",A26,"")</x:f>
      </x:c>
      <x:c r="N26" s="101" t="str">
        <x:f>IF(B26="场景",A26,"")</x:f>
      </x:c>
      <x:c r="O26" s="101" t="str">
        <x:f>IF(B26="用途",A26,"")</x:f>
        <x:v>Streaming / Content Creation</x:v>
      </x:c>
      <x:c r="P26" s="101" t="str">
        <x:f>IF(B26="频率",A26,"")</x:f>
      </x:c>
      <x:c r="Q26" s="187" t="str">
        <x:f>IF(OR(H26=0,J26=0),"不采用 / 观察",IF(AND(C26="A",H26&gt;=1,J26&gt;=1),"优先级 1｜必须表达",IF(AND(OR(C26="B1",C26="B2"),K26&gt;=5,H26&gt;0),"优先级 2｜重点宣传",IF(AND(H26&gt;=1,J26&gt;=1),"优先级 3｜补充表达","不采用 / 观察"))))</x:f>
        <x:v>优先级 3｜补充表达</x:v>
      </x:c>
      <x:c r="R26" s="101" t="str">
        <x:f>IF(OR(Q26="优先级 1｜必须表达",Q26="优先级 2｜重点宣传",Q26="优先级 3｜补充表达"),"是","否")</x:f>
        <x:v>是</x:v>
      </x:c>
      <x:c r="S26" s="101" t="str">
        <x:f>"市场分类 "&amp;C26&amp;"；Product Advantage="&amp;K26&amp;"；"&amp;F26&amp;"；最终动作："&amp;Q26</x:f>
        <x:v>市场分类 C；Product Advantage=2；可支持电脑坐用，但无直播/内容创作专属功能；最终动作：优先级 3｜补充表达</x:v>
      </x:c>
      <x:c r="T26" s="101" t="str">
        <x:f>IF('标签覆盖率'!$D$2&lt;10,"样本不足，不得作为正式结论","正式结论")</x:f>
        <x:v>正式结论</x:v>
      </x:c>
    </x:row>
    <x:row r="27" ht="56" customHeight="1">
      <x:c r="A27" s="212" t="str">
        <x:v>Napping</x:v>
      </x:c>
      <x:c r="B27" s="165" t="str">
        <x:v>用途</x:v>
      </x:c>
      <x:c r="C27" s="102" t="str">
        <x:f>'标签分类'!J32</x:f>
        <x:v>C</x:v>
      </x:c>
      <x:c r="D27" s="103" t="n">
        <x:f>'标签分类'!E32</x:f>
        <x:v>0.2</x:v>
      </x:c>
      <x:c r="E27" s="104" t="n">
        <x:f>'标签分类'!H32</x:f>
        <x:v>1.5</x:v>
      </x:c>
      <x:c r="F27" s="101" t="str">
        <x:v>135°后仰和可延展脚托可直接支持短时休息/午睡</x:v>
      </x:c>
      <x:c r="G27" s="101" t="str">
        <x:v>该标签覆盖 2/10 个有效竞品；具体 Listing 资源位证据见“标签介绍度”。</x:v>
      </x:c>
      <x:c r="H27" s="105" t="n">
        <x:v>2</x:v>
      </x:c>
      <x:c r="I27" s="105" t="n">
        <x:v>1</x:v>
      </x:c>
      <x:c r="J27" s="105" t="n">
        <x:v>2</x:v>
      </x:c>
      <x:c r="K27" s="105" t="n">
        <x:f>H27+I27+J27</x:f>
        <x:v>5</x:v>
      </x:c>
      <x:c r="L27" s="101" t="str">
        <x:f>IF(K27&gt;=5,"强",IF(K27&gt;=3,"中","弱"))</x:f>
        <x:v>强</x:v>
      </x:c>
      <x:c r="M27" s="101" t="str">
        <x:f>IF(B27="人群",A27,"")</x:f>
      </x:c>
      <x:c r="N27" s="101" t="str">
        <x:f>IF(B27="场景",A27,"")</x:f>
      </x:c>
      <x:c r="O27" s="101" t="str">
        <x:f>IF(B27="用途",A27,"")</x:f>
        <x:v>Napping</x:v>
      </x:c>
      <x:c r="P27" s="101" t="str">
        <x:f>IF(B27="频率",A27,"")</x:f>
      </x:c>
      <x:c r="Q27" s="187" t="str">
        <x:f>IF(OR(H27=0,J27=0),"不采用 / 观察",IF(AND(C27="A",H27&gt;=1,J27&gt;=1),"优先级 1｜必须表达",IF(AND(OR(C27="B1",C27="B2"),K27&gt;=5,H27&gt;0),"优先级 2｜重点宣传",IF(AND(H27&gt;=1,J27&gt;=1),"优先级 3｜补充表达","不采用 / 观察"))))</x:f>
        <x:v>优先级 3｜补充表达</x:v>
      </x:c>
      <x:c r="R27" s="101" t="str">
        <x:f>IF(OR(Q27="优先级 1｜必须表达",Q27="优先级 2｜重点宣传",Q27="优先级 3｜补充表达"),"是","否")</x:f>
        <x:v>是</x:v>
      </x:c>
      <x:c r="S27" s="101" t="str">
        <x:f>"市场分类 "&amp;C27&amp;"；Product Advantage="&amp;K27&amp;"；"&amp;F27&amp;"；最终动作："&amp;Q27</x:f>
        <x:v>市场分类 C；Product Advantage=5；135°后仰和可延展脚托可直接支持短时休息/午睡；最终动作：优先级 3｜补充表达</x:v>
      </x:c>
      <x:c r="T27" s="101" t="str">
        <x:f>IF('标签覆盖率'!$D$2&lt;10,"样本不足，不得作为正式结论","正式结论")</x:f>
        <x:v>正式结论</x:v>
      </x:c>
    </x:row>
    <x:row r="28" ht="56" customHeight="1">
      <x:c r="A28" s="212" t="str">
        <x:v>Study</x:v>
      </x:c>
      <x:c r="B28" s="165" t="str">
        <x:v>用途</x:v>
      </x:c>
      <x:c r="C28" s="102" t="str">
        <x:f>'标签分类'!J34</x:f>
        <x:v>C</x:v>
      </x:c>
      <x:c r="D28" s="103" t="n">
        <x:f>'标签分类'!E34</x:f>
        <x:v>0.2</x:v>
      </x:c>
      <x:c r="E28" s="104" t="n">
        <x:f>'标签分类'!H34</x:f>
        <x:v>0</x:v>
      </x:c>
      <x:c r="F28" s="101" t="str">
        <x:v>可支持学习坐姿，但无学习专属功能或尺寸证明</x:v>
      </x:c>
      <x:c r="G28" s="101" t="str">
        <x:v>该标签覆盖 2/10 个有效竞品；具体 Listing 资源位证据见“标签介绍度”。</x:v>
      </x:c>
      <x:c r="H28" s="105" t="n">
        <x:v>1</x:v>
      </x:c>
      <x:c r="I28" s="105" t="n">
        <x:v>0</x:v>
      </x:c>
      <x:c r="J28" s="105" t="n">
        <x:v>1</x:v>
      </x:c>
      <x:c r="K28" s="105" t="n">
        <x:f>H28+I28+J28</x:f>
        <x:v>2</x:v>
      </x:c>
      <x:c r="L28" s="101" t="str">
        <x:f>IF(K28&gt;=5,"强",IF(K28&gt;=3,"中","弱"))</x:f>
        <x:v>弱</x:v>
      </x:c>
      <x:c r="M28" s="101" t="str">
        <x:f>IF(B28="人群",A28,"")</x:f>
      </x:c>
      <x:c r="N28" s="101" t="str">
        <x:f>IF(B28="场景",A28,"")</x:f>
      </x:c>
      <x:c r="O28" s="101" t="str">
        <x:f>IF(B28="用途",A28,"")</x:f>
        <x:v>Study</x:v>
      </x:c>
      <x:c r="P28" s="101" t="str">
        <x:f>IF(B28="频率",A28,"")</x:f>
      </x:c>
      <x:c r="Q28" s="187" t="str">
        <x:f>IF(OR(H28=0,J28=0),"不采用 / 观察",IF(AND(C28="A",H28&gt;=1,J28&gt;=1),"优先级 1｜必须表达",IF(AND(OR(C28="B1",C28="B2"),K28&gt;=5,H28&gt;0),"优先级 2｜重点宣传",IF(AND(H28&gt;=1,J28&gt;=1),"优先级 3｜补充表达","不采用 / 观察"))))</x:f>
        <x:v>优先级 3｜补充表达</x:v>
      </x:c>
      <x:c r="R28" s="101" t="str">
        <x:f>IF(OR(Q28="优先级 1｜必须表达",Q28="优先级 2｜重点宣传",Q28="优先级 3｜补充表达"),"是","否")</x:f>
        <x:v>是</x:v>
      </x:c>
      <x:c r="S28" s="101" t="str">
        <x:f>"市场分类 "&amp;C28&amp;"；Product Advantage="&amp;K28&amp;"；"&amp;F28&amp;"；最终动作："&amp;Q28</x:f>
        <x:v>市场分类 C；Product Advantage=2；可支持学习坐姿，但无学习专属功能或尺寸证明；最终动作：优先级 3｜补充表达</x:v>
      </x:c>
      <x:c r="T28" s="101" t="str">
        <x:f>IF('标签覆盖率'!$D$2&lt;10,"样本不足，不得作为正式结论","正式结论")</x:f>
        <x:v>正式结论</x:v>
      </x:c>
    </x:row>
    <x:row r="29" ht="56" customHeight="1">
      <x:c r="A29" s="212" t="str">
        <x:v>Back Tension Relief</x:v>
      </x:c>
      <x:c r="B29" s="165" t="str">
        <x:v>用途</x:v>
      </x:c>
      <x:c r="C29" s="102" t="str">
        <x:f>'标签分类'!J35</x:f>
        <x:v>C</x:v>
      </x:c>
      <x:c r="D29" s="103" t="n">
        <x:f>'标签分类'!E35</x:f>
        <x:v>0.1</x:v>
      </x:c>
      <x:c r="E29" s="104" t="n">
        <x:f>'标签分类'!H35</x:f>
        <x:v>5</x:v>
      </x:c>
      <x:c r="F29" s="101" t="str">
        <x:v>输入明确给出震动腰枕可缓解久坐腰部疲劳</x:v>
      </x:c>
      <x:c r="G29" s="101" t="str">
        <x:v>竞品普遍使用按摩腰靠、加热/震动、人体工学支撑表达，部分强调缓解压力或疲劳。</x:v>
      </x:c>
      <x:c r="H29" s="105" t="n">
        <x:v>2</x:v>
      </x:c>
      <x:c r="I29" s="105" t="n">
        <x:v>1</x:v>
      </x:c>
      <x:c r="J29" s="105" t="n">
        <x:v>2</x:v>
      </x:c>
      <x:c r="K29" s="105" t="n">
        <x:f>H29+I29+J29</x:f>
        <x:v>5</x:v>
      </x:c>
      <x:c r="L29" s="101" t="str">
        <x:f>IF(K29&gt;=5,"强",IF(K29&gt;=3,"中","弱"))</x:f>
        <x:v>强</x:v>
      </x:c>
      <x:c r="M29" s="101" t="str">
        <x:f>IF(B29="人群",A29,"")</x:f>
      </x:c>
      <x:c r="N29" s="101" t="str">
        <x:f>IF(B29="场景",A29,"")</x:f>
      </x:c>
      <x:c r="O29" s="101" t="str">
        <x:f>IF(B29="用途",A29,"")</x:f>
        <x:v>Back Tension Relief</x:v>
      </x:c>
      <x:c r="P29" s="101" t="str">
        <x:f>IF(B29="频率",A29,"")</x:f>
      </x:c>
      <x:c r="Q29" s="187" t="str">
        <x:f>IF(OR(H29=0,J29=0),"不采用 / 观察",IF(AND(C29="A",H29&gt;=1,J29&gt;=1),"优先级 1｜必须表达",IF(AND(OR(C29="B1",C29="B2"),K29&gt;=5,H29&gt;0),"优先级 2｜重点宣传",IF(AND(H29&gt;=1,J29&gt;=1),"优先级 3｜补充表达","不采用 / 观察"))))</x:f>
        <x:v>优先级 3｜补充表达</x:v>
      </x:c>
      <x:c r="R29" s="101" t="str">
        <x:f>IF(OR(Q29="优先级 1｜必须表达",Q29="优先级 2｜重点宣传",Q29="优先级 3｜补充表达"),"是","否")</x:f>
        <x:v>是</x:v>
      </x:c>
      <x:c r="S29" s="101" t="str">
        <x:f>"市场分类 "&amp;C29&amp;"；Product Advantage="&amp;K29&amp;"；"&amp;F29&amp;"；最终动作："&amp;Q29</x:f>
        <x:v>市场分类 C；Product Advantage=5；输入明确给出震动腰枕可缓解久坐腰部疲劳；最终动作：优先级 3｜补充表达</x:v>
      </x:c>
      <x:c r="T29" s="101" t="str">
        <x:f>IF('标签覆盖率'!$D$2&lt;10,"样本不足，不得作为正式结论","正式结论")</x:f>
        <x:v>正式结论</x:v>
      </x:c>
    </x:row>
    <x:row r="30" ht="56" customHeight="1">
      <x:c r="A30" s="212" t="str">
        <x:v>Long Hours</x:v>
      </x:c>
      <x:c r="B30" s="169" t="str">
        <x:v>频率</x:v>
      </x:c>
      <x:c r="C30" s="102" t="str">
        <x:f>'标签分类'!J36</x:f>
        <x:v>C</x:v>
      </x:c>
      <x:c r="D30" s="103" t="n">
        <x:f>'标签分类'!E36</x:f>
        <x:v>0.4</x:v>
      </x:c>
      <x:c r="E30" s="104" t="n">
        <x:f>'标签分类'!H36</x:f>
        <x:v>3.5</x:v>
      </x:c>
      <x:c r="F30" s="101" t="str">
        <x:v>袋装弹簧分散压力、透气科技布散热、宽坐垫和按摩腰枕共同支持久坐</x:v>
      </x:c>
      <x:c r="G30" s="101" t="str">
        <x:v>覆盖竞品在标题、Bullet 或副图中直接使用 long hours、10H+、12-hour 或 marathon 等表达。</x:v>
      </x:c>
      <x:c r="H30" s="105" t="n">
        <x:v>2</x:v>
      </x:c>
      <x:c r="I30" s="105" t="n">
        <x:v>2</x:v>
      </x:c>
      <x:c r="J30" s="105" t="n">
        <x:v>2</x:v>
      </x:c>
      <x:c r="K30" s="105" t="n">
        <x:f>H30+I30+J30</x:f>
        <x:v>6</x:v>
      </x:c>
      <x:c r="L30" s="101" t="str">
        <x:f>IF(K30&gt;=5,"强",IF(K30&gt;=3,"中","弱"))</x:f>
        <x:v>强</x:v>
      </x:c>
      <x:c r="M30" s="101" t="str">
        <x:f>IF(B30="人群",A30,"")</x:f>
      </x:c>
      <x:c r="N30" s="101" t="str">
        <x:f>IF(B30="场景",A30,"")</x:f>
      </x:c>
      <x:c r="O30" s="101" t="str">
        <x:f>IF(B30="用途",A30,"")</x:f>
      </x:c>
      <x:c r="P30" s="101" t="str">
        <x:f>IF(B30="频率",A30,"")</x:f>
        <x:v>Long Hours</x:v>
      </x:c>
      <x:c r="Q30" s="187" t="str">
        <x:f>IF(OR(H30=0,J30=0),"不采用 / 观察",IF(AND(C30="A",H30&gt;=1,J30&gt;=1),"优先级 1｜必须表达",IF(AND(OR(C30="B1",C30="B2"),K30&gt;=5,H30&gt;0),"优先级 2｜重点宣传",IF(AND(H30&gt;=1,J30&gt;=1),"优先级 3｜补充表达","不采用 / 观察"))))</x:f>
        <x:v>优先级 3｜补充表达</x:v>
      </x:c>
      <x:c r="R30" s="101" t="str">
        <x:f>IF(OR(Q30="优先级 1｜必须表达",Q30="优先级 2｜重点宣传",Q30="优先级 3｜补充表达"),"是","否")</x:f>
        <x:v>是</x:v>
      </x:c>
      <x:c r="S30" s="101" t="str">
        <x:f>"市场分类 "&amp;C30&amp;"；Product Advantage="&amp;K30&amp;"；"&amp;F30&amp;"；最终动作："&amp;Q30</x:f>
        <x:v>市场分类 C；Product Advantage=6；袋装弹簧分散压力、透气科技布散热、宽坐垫和按摩腰枕共同支持久坐；最终动作：优先级 3｜补充表达</x:v>
      </x:c>
      <x:c r="T30" s="101" t="str">
        <x:f>IF('标签覆盖率'!$D$2&lt;10,"样本不足，不得作为正式结论","正式结论")</x:f>
        <x:v>正式结论</x:v>
      </x:c>
    </x:row>
    <x:row r="31" ht="56" customHeight="1">
      <x:c r="A31" s="212" t="str">
        <x:v>All-Day Use</x:v>
      </x:c>
      <x:c r="B31" s="169" t="str">
        <x:v>频率</x:v>
      </x:c>
      <x:c r="C31" s="102" t="str">
        <x:f>'标签分类'!J37</x:f>
        <x:v>C</x:v>
      </x:c>
      <x:c r="D31" s="103" t="n">
        <x:f>'标签分类'!E37</x:f>
        <x:v>0.3</x:v>
      </x:c>
      <x:c r="E31" s="104" t="n">
        <x:f>'标签分类'!H37</x:f>
        <x:v>1</x:v>
      </x:c>
      <x:c r="F31" s="101" t="str">
        <x:v>久坐结构可间接支持，但本品没有全天使用耐久或测试数据</x:v>
      </x:c>
      <x:c r="G31" s="101" t="str">
        <x:v>覆盖竞品直接使用 all-day support/comfort，属于明确强度表达。</x:v>
      </x:c>
      <x:c r="H31" s="105" t="n">
        <x:v>1</x:v>
      </x:c>
      <x:c r="I31" s="105" t="n">
        <x:v>1</x:v>
      </x:c>
      <x:c r="J31" s="105" t="n">
        <x:v>1</x:v>
      </x:c>
      <x:c r="K31" s="105" t="n">
        <x:f>H31+I31+J31</x:f>
        <x:v>3</x:v>
      </x:c>
      <x:c r="L31" s="101" t="str">
        <x:f>IF(K31&gt;=5,"强",IF(K31&gt;=3,"中","弱"))</x:f>
        <x:v>中</x:v>
      </x:c>
      <x:c r="M31" s="101" t="str">
        <x:f>IF(B31="人群",A31,"")</x:f>
      </x:c>
      <x:c r="N31" s="101" t="str">
        <x:f>IF(B31="场景",A31,"")</x:f>
      </x:c>
      <x:c r="O31" s="101" t="str">
        <x:f>IF(B31="用途",A31,"")</x:f>
      </x:c>
      <x:c r="P31" s="101" t="str">
        <x:f>IF(B31="频率",A31,"")</x:f>
        <x:v>All-Day Use</x:v>
      </x:c>
      <x:c r="Q31" s="187" t="str">
        <x:f>IF(OR(H31=0,J31=0),"不采用 / 观察",IF(AND(C31="A",H31&gt;=1,J31&gt;=1),"优先级 1｜必须表达",IF(AND(OR(C31="B1",C31="B2"),K31&gt;=5,H31&gt;0),"优先级 2｜重点宣传",IF(AND(H31&gt;=1,J31&gt;=1),"优先级 3｜补充表达","不采用 / 观察"))))</x:f>
        <x:v>优先级 3｜补充表达</x:v>
      </x:c>
      <x:c r="R31" s="101" t="str">
        <x:f>IF(OR(Q31="优先级 1｜必须表达",Q31="优先级 2｜重点宣传",Q31="优先级 3｜补充表达"),"是","否")</x:f>
        <x:v>是</x:v>
      </x:c>
      <x:c r="S31" s="101" t="str">
        <x:f>"市场分类 "&amp;C31&amp;"；Product Advantage="&amp;K31&amp;"；"&amp;F31&amp;"；最终动作："&amp;Q31</x:f>
        <x:v>市场分类 C；Product Advantage=3；久坐结构可间接支持，但本品没有全天使用耐久或测试数据；最终动作：优先级 3｜补充表达</x:v>
      </x:c>
      <x:c r="T31" s="101" t="str">
        <x:f>IF('标签覆盖率'!$D$2&lt;10,"样本不足，不得作为正式结论","正式结论")</x:f>
        <x:v>正式结论</x:v>
      </x:c>
    </x:row>
    <x:row r="32" ht="56" customHeight="1">
      <x:c r="A32" s="212" t="str">
        <x:v>Extended Sessions</x:v>
      </x:c>
      <x:c r="B32" s="169" t="str">
        <x:v>频率</x:v>
      </x:c>
      <x:c r="C32" s="102" t="str">
        <x:f>'标签分类'!J38</x:f>
        <x:v>C</x:v>
      </x:c>
      <x:c r="D32" s="103" t="n">
        <x:f>'标签分类'!E38</x:f>
        <x:v>0.1</x:v>
      </x:c>
      <x:c r="E32" s="104" t="n">
        <x:f>'标签分类'!H38</x:f>
        <x:v>2</x:v>
      </x:c>
      <x:c r="F32" s="101" t="str">
        <x:v>袋装弹簧、透气面料、宽坐垫和腰枕对长时段使用形成组合优势</x:v>
      </x:c>
      <x:c r="G32" s="101" t="str">
        <x:v>覆盖竞品直接使用 gaming marathon / extended sessions 表达。</x:v>
      </x:c>
      <x:c r="H32" s="105" t="n">
        <x:v>2</x:v>
      </x:c>
      <x:c r="I32" s="105" t="n">
        <x:v>2</x:v>
      </x:c>
      <x:c r="J32" s="105" t="n">
        <x:v>2</x:v>
      </x:c>
      <x:c r="K32" s="105" t="n">
        <x:f>H32+I32+J32</x:f>
        <x:v>6</x:v>
      </x:c>
      <x:c r="L32" s="101" t="str">
        <x:f>IF(K32&gt;=5,"强",IF(K32&gt;=3,"中","弱"))</x:f>
        <x:v>强</x:v>
      </x:c>
      <x:c r="M32" s="101" t="str">
        <x:f>IF(B32="人群",A32,"")</x:f>
      </x:c>
      <x:c r="N32" s="101" t="str">
        <x:f>IF(B32="场景",A32,"")</x:f>
      </x:c>
      <x:c r="O32" s="101" t="str">
        <x:f>IF(B32="用途",A32,"")</x:f>
      </x:c>
      <x:c r="P32" s="101" t="str">
        <x:f>IF(B32="频率",A32,"")</x:f>
        <x:v>Extended Sessions</x:v>
      </x:c>
      <x:c r="Q32" s="187" t="str">
        <x:f>IF(OR(H32=0,J32=0),"不采用 / 观察",IF(AND(C32="A",H32&gt;=1,J32&gt;=1),"优先级 1｜必须表达",IF(AND(OR(C32="B1",C32="B2"),K32&gt;=5,H32&gt;0),"优先级 2｜重点宣传",IF(AND(H32&gt;=1,J32&gt;=1),"优先级 3｜补充表达","不采用 / 观察"))))</x:f>
        <x:v>优先级 3｜补充表达</x:v>
      </x:c>
      <x:c r="R32" s="101" t="str">
        <x:f>IF(OR(Q32="优先级 1｜必须表达",Q32="优先级 2｜重点宣传",Q32="优先级 3｜补充表达"),"是","否")</x:f>
        <x:v>是</x:v>
      </x:c>
      <x:c r="S32" s="101" t="str">
        <x:f>"市场分类 "&amp;C32&amp;"；Product Advantage="&amp;K32&amp;"；"&amp;F32&amp;"；最终动作："&amp;Q32</x:f>
        <x:v>市场分类 C；Product Advantage=6；袋装弹簧、透气面料、宽坐垫和腰枕对长时段使用形成组合优势；最终动作：优先级 3｜补充表达</x:v>
      </x:c>
      <x:c r="T32" s="101" t="str">
        <x:f>IF('标签覆盖率'!$D$2&lt;10,"样本不足，不得作为正式结论","正式结论")</x:f>
        <x:v>正式结论</x:v>
      </x:c>
    </x:row>
    <x:row r="33" ht="56" customHeight="1">
      <x:c r="A33" s="213" t="str">
        <x:v>Teens / Young Adults</x:v>
      </x:c>
      <x:c r="B33" s="189" t="str">
        <x:v>人群</x:v>
      </x:c>
      <x:c r="C33" s="39" t="str">
        <x:f>'标签分类'!J11</x:f>
        <x:v>C</x:v>
      </x:c>
      <x:c r="D33" s="116" t="n">
        <x:f>'标签分类'!E11</x:f>
        <x:v>0.2</x:v>
      </x:c>
      <x:c r="E33" s="117" t="n">
        <x:f>'标签分类'!H11</x:f>
        <x:v>0.5</x:v>
      </x:c>
      <x:c r="F33" s="115" t="str">
        <x:v>未提供青少年/年轻成人专属适配参数</x:v>
      </x:c>
      <x:c r="G33" s="115" t="str">
        <x:v>该标签覆盖 2/10 个有效竞品；具体 Listing 资源位证据见“标签介绍度”。</x:v>
      </x:c>
      <x:c r="H33" s="118" t="n">
        <x:v>0</x:v>
      </x:c>
      <x:c r="I33" s="118" t="n">
        <x:v>0</x:v>
      </x:c>
      <x:c r="J33" s="118" t="n">
        <x:v>0</x:v>
      </x:c>
      <x:c r="K33" s="118" t="n">
        <x:f>H33+I33+J33</x:f>
        <x:v>0</x:v>
      </x:c>
      <x:c r="L33" s="115" t="str">
        <x:f>IF(K33&gt;=5,"强",IF(K33&gt;=3,"中","弱"))</x:f>
        <x:v>弱</x:v>
      </x:c>
      <x:c r="M33" s="115" t="str">
        <x:f>IF(B33="人群",A33,"")</x:f>
        <x:v>Teens / Young Adults</x:v>
      </x:c>
      <x:c r="N33" s="115" t="str">
        <x:f>IF(B33="场景",A33,"")</x:f>
      </x:c>
      <x:c r="O33" s="115" t="str">
        <x:f>IF(B33="用途",A33,"")</x:f>
      </x:c>
      <x:c r="P33" s="115" t="str">
        <x:f>IF(B33="频率",A33,"")</x:f>
      </x:c>
      <x:c r="Q33" s="192" t="str">
        <x:f>IF(OR(H33=0,J33=0),"不采用 / 观察",IF(AND(C33="A",H33&gt;=1,J33&gt;=1),"优先级 1｜必须表达",IF(AND(OR(C33="B1",C33="B2"),K33&gt;=5,H33&gt;0),"优先级 2｜重点宣传",IF(AND(H33&gt;=1,J33&gt;=1),"优先级 3｜补充表达","不采用 / 观察"))))</x:f>
        <x:v>不采用 / 观察</x:v>
      </x:c>
      <x:c r="R33" s="115" t="str">
        <x:f>IF(OR(Q33="优先级 1｜必须表达",Q33="优先级 2｜重点宣传",Q33="优先级 3｜补充表达"),"是","否")</x:f>
        <x:v>否</x:v>
      </x:c>
      <x:c r="S33" s="115" t="str">
        <x:f>"市场分类 "&amp;C33&amp;"；Product Advantage="&amp;K33&amp;"；"&amp;F33&amp;"；最终动作："&amp;Q33</x:f>
        <x:v>市场分类 C；Product Advantage=0；未提供青少年/年轻成人专属适配参数；最终动作：不采用 / 观察</x:v>
      </x:c>
      <x:c r="T33" s="115" t="str">
        <x:f>IF('标签覆盖率'!$D$2&lt;10,"样本不足，不得作为正式结论","正式结论")</x:f>
        <x:v>正式结论</x:v>
      </x:c>
    </x:row>
    <x:row r="34" ht="56" customHeight="1">
      <x:c r="A34" s="214" t="str">
        <x:v>Style-Conscious Users</x:v>
      </x:c>
      <x:c r="B34" s="157" t="str">
        <x:v>人群</x:v>
      </x:c>
      <x:c r="C34" s="37" t="str">
        <x:f>'标签分类'!J17</x:f>
        <x:v>C</x:v>
      </x:c>
      <x:c r="D34" s="112" t="n">
        <x:f>'标签分类'!E17</x:f>
        <x:v>0.1</x:v>
      </x:c>
      <x:c r="E34" s="113" t="n">
        <x:f>'标签分类'!H17</x:f>
        <x:v>10</x:v>
      </x:c>
      <x:c r="F34" s="111" t="str">
        <x:v>本品未提供可比较的外观风格或装饰结构证据</x:v>
      </x:c>
      <x:c r="G34" s="111" t="str">
        <x:v>该标签覆盖 1/10 个有效竞品；具体 Listing 资源位证据见“标签介绍度”。</x:v>
      </x:c>
      <x:c r="H34" s="114" t="n">
        <x:v>0</x:v>
      </x:c>
      <x:c r="I34" s="114" t="n">
        <x:v>0</x:v>
      </x:c>
      <x:c r="J34" s="114" t="n">
        <x:v>0</x:v>
      </x:c>
      <x:c r="K34" s="114" t="n">
        <x:f>H34+I34+J34</x:f>
        <x:v>0</x:v>
      </x:c>
      <x:c r="L34" s="111" t="str">
        <x:f>IF(K34&gt;=5,"强",IF(K34&gt;=3,"中","弱"))</x:f>
        <x:v>弱</x:v>
      </x:c>
      <x:c r="M34" s="111" t="str">
        <x:f>IF(B34="人群",A34,"")</x:f>
        <x:v>Style-Conscious Users</x:v>
      </x:c>
      <x:c r="N34" s="111" t="str">
        <x:f>IF(B34="场景",A34,"")</x:f>
      </x:c>
      <x:c r="O34" s="111" t="str">
        <x:f>IF(B34="用途",A34,"")</x:f>
      </x:c>
      <x:c r="P34" s="111" t="str">
        <x:f>IF(B34="频率",A34,"")</x:f>
      </x:c>
      <x:c r="Q34" s="195" t="str">
        <x:f>IF(OR(H34=0,J34=0),"不采用 / 观察",IF(AND(C34="A",H34&gt;=1,J34&gt;=1),"优先级 1｜必须表达",IF(AND(OR(C34="B1",C34="B2"),K34&gt;=5,H34&gt;0),"优先级 2｜重点宣传",IF(AND(H34&gt;=1,J34&gt;=1),"优先级 3｜补充表达","不采用 / 观察"))))</x:f>
        <x:v>不采用 / 观察</x:v>
      </x:c>
      <x:c r="R34" s="111" t="str">
        <x:f>IF(OR(Q34="优先级 1｜必须表达",Q34="优先级 2｜重点宣传",Q34="优先级 3｜补充表达"),"是","否")</x:f>
        <x:v>否</x:v>
      </x:c>
      <x:c r="S34" s="111" t="str">
        <x:f>"市场分类 "&amp;C34&amp;"；Product Advantage="&amp;K34&amp;"；"&amp;F34&amp;"；最终动作："&amp;Q34</x:f>
        <x:v>市场分类 C；Product Advantage=0；本品未提供可比较的外观风格或装饰结构证据；最终动作：不采用 / 观察</x:v>
      </x:c>
      <x:c r="T34" s="111" t="str">
        <x:f>IF('标签覆盖率'!$D$2&lt;10,"样本不足，不得作为正式结论","正式结论")</x:f>
        <x:v>正式结论</x:v>
      </x:c>
    </x:row>
    <x:row r="35" ht="56" customHeight="1">
      <x:c r="A35" s="214" t="str">
        <x:v>Small-Framed Users</x:v>
      </x:c>
      <x:c r="B35" s="157" t="str">
        <x:v>人群</x:v>
      </x:c>
      <x:c r="C35" s="37" t="str">
        <x:f>'标签分类'!J16</x:f>
        <x:v>C</x:v>
      </x:c>
      <x:c r="D35" s="112" t="n">
        <x:f>'标签分类'!E16</x:f>
        <x:v>0.1</x:v>
      </x:c>
      <x:c r="E35" s="113" t="n">
        <x:f>'标签分类'!H16</x:f>
        <x:v>3</x:v>
      </x:c>
      <x:c r="F35" s="111" t="str">
        <x:v>未提供小体型用户的座高、身高或体重适配证据</x:v>
      </x:c>
      <x:c r="G35" s="111" t="str">
        <x:v>B0D4YV8KZR 明确为小体型成人/青少年设计，并提示 ≥220 lbs 支撑下降。</x:v>
      </x:c>
      <x:c r="H35" s="114" t="n">
        <x:v>0</x:v>
      </x:c>
      <x:c r="I35" s="114" t="n">
        <x:v>0</x:v>
      </x:c>
      <x:c r="J35" s="114" t="n">
        <x:v>0</x:v>
      </x:c>
      <x:c r="K35" s="114" t="n">
        <x:f>H35+I35+J35</x:f>
        <x:v>0</x:v>
      </x:c>
      <x:c r="L35" s="111" t="str">
        <x:f>IF(K35&gt;=5,"强",IF(K35&gt;=3,"中","弱"))</x:f>
        <x:v>弱</x:v>
      </x:c>
      <x:c r="M35" s="111" t="str">
        <x:f>IF(B35="人群",A35,"")</x:f>
        <x:v>Small-Framed Users</x:v>
      </x:c>
      <x:c r="N35" s="111" t="str">
        <x:f>IF(B35="场景",A35,"")</x:f>
      </x:c>
      <x:c r="O35" s="111" t="str">
        <x:f>IF(B35="用途",A35,"")</x:f>
      </x:c>
      <x:c r="P35" s="111" t="str">
        <x:f>IF(B35="频率",A35,"")</x:f>
      </x:c>
      <x:c r="Q35" s="195" t="str">
        <x:f>IF(OR(H35=0,J35=0),"不采用 / 观察",IF(AND(C35="A",H35&gt;=1,J35&gt;=1),"优先级 1｜必须表达",IF(AND(OR(C35="B1",C35="B2"),K35&gt;=5,H35&gt;0),"优先级 2｜重点宣传",IF(AND(H35&gt;=1,J35&gt;=1),"优先级 3｜补充表达","不采用 / 观察"))))</x:f>
        <x:v>不采用 / 观察</x:v>
      </x:c>
      <x:c r="R35" s="111" t="str">
        <x:f>IF(OR(Q35="优先级 1｜必须表达",Q35="优先级 2｜重点宣传",Q35="优先级 3｜补充表达"),"是","否")</x:f>
        <x:v>否</x:v>
      </x:c>
      <x:c r="S35" s="111" t="str">
        <x:f>"市场分类 "&amp;C35&amp;"；Product Advantage="&amp;K35&amp;"；"&amp;F35&amp;"；最终动作："&amp;Q35</x:f>
        <x:v>市场分类 C；Product Advantage=0；未提供小体型用户的座高、身高或体重适配证据；最终动作：不采用 / 观察</x:v>
      </x:c>
      <x:c r="T35" s="111" t="str">
        <x:f>IF('标签覆盖率'!$D$2&lt;10,"样本不足，不得作为正式结论","正式结论")</x:f>
        <x:v>正式结论</x:v>
      </x:c>
    </x:row>
    <x:row r="36" ht="56" customHeight="1">
      <x:c r="A36" s="214" t="str">
        <x:v>Quiet-Mobility Seekers</x:v>
      </x:c>
      <x:c r="B36" s="157" t="str">
        <x:v>人群</x:v>
      </x:c>
      <x:c r="C36" s="37" t="str">
        <x:f>'标签分类'!J14</x:f>
        <x:v>C</x:v>
      </x:c>
      <x:c r="D36" s="112" t="n">
        <x:f>'标签分类'!E14</x:f>
        <x:v>0.1</x:v>
      </x:c>
      <x:c r="E36" s="113" t="n">
        <x:f>'标签分类'!H14</x:f>
        <x:v>1</x:v>
      </x:c>
      <x:c r="F36" s="111" t="str">
        <x:v>未提供静音脚轮或移动噪声参数</x:v>
      </x:c>
      <x:c r="G36" s="111" t="str">
        <x:v>该标签覆盖 1/10 个有效竞品；具体 Listing 资源位证据见“标签介绍度”。</x:v>
      </x:c>
      <x:c r="H36" s="114" t="n">
        <x:v>0</x:v>
      </x:c>
      <x:c r="I36" s="114" t="n">
        <x:v>0</x:v>
      </x:c>
      <x:c r="J36" s="114" t="n">
        <x:v>0</x:v>
      </x:c>
      <x:c r="K36" s="114" t="n">
        <x:f>H36+I36+J36</x:f>
        <x:v>0</x:v>
      </x:c>
      <x:c r="L36" s="111" t="str">
        <x:f>IF(K36&gt;=5,"强",IF(K36&gt;=3,"中","弱"))</x:f>
        <x:v>弱</x:v>
      </x:c>
      <x:c r="M36" s="111" t="str">
        <x:f>IF(B36="人群",A36,"")</x:f>
        <x:v>Quiet-Mobility Seekers</x:v>
      </x:c>
      <x:c r="N36" s="111" t="str">
        <x:f>IF(B36="场景",A36,"")</x:f>
      </x:c>
      <x:c r="O36" s="111" t="str">
        <x:f>IF(B36="用途",A36,"")</x:f>
      </x:c>
      <x:c r="P36" s="111" t="str">
        <x:f>IF(B36="频率",A36,"")</x:f>
      </x:c>
      <x:c r="Q36" s="195" t="str">
        <x:f>IF(OR(H36=0,J36=0),"不采用 / 观察",IF(AND(C36="A",H36&gt;=1,J36&gt;=1),"优先级 1｜必须表达",IF(AND(OR(C36="B1",C36="B2"),K36&gt;=5,H36&gt;0),"优先级 2｜重点宣传",IF(AND(H36&gt;=1,J36&gt;=1),"优先级 3｜补充表达","不采用 / 观察"))))</x:f>
        <x:v>不采用 / 观察</x:v>
      </x:c>
      <x:c r="R36" s="111" t="str">
        <x:f>IF(OR(Q36="优先级 1｜必须表达",Q36="优先级 2｜重点宣传",Q36="优先级 3｜补充表达"),"是","否")</x:f>
        <x:v>否</x:v>
      </x:c>
      <x:c r="S36" s="111" t="str">
        <x:f>"市场分类 "&amp;C36&amp;"；Product Advantage="&amp;K36&amp;"；"&amp;F36&amp;"；最终动作："&amp;Q36</x:f>
        <x:v>市场分类 C；Product Advantage=0；未提供静音脚轮或移动噪声参数；最终动作：不采用 / 观察</x:v>
      </x:c>
      <x:c r="T36" s="111" t="str">
        <x:f>IF('标签覆盖率'!$D$2&lt;10,"样本不足，不得作为正式结论","正式结论")</x:f>
        <x:v>正式结论</x:v>
      </x:c>
    </x:row>
    <x:row r="37" ht="56" customHeight="1">
      <x:c r="A37" s="214" t="str">
        <x:v>Budget-Conscious Buyers</x:v>
      </x:c>
      <x:c r="B37" s="157" t="str">
        <x:v>人群</x:v>
      </x:c>
      <x:c r="C37" s="37" t="str">
        <x:f>'标签分类'!J12</x:f>
        <x:v>C</x:v>
      </x:c>
      <x:c r="D37" s="112" t="n">
        <x:f>'标签分类'!E12</x:f>
        <x:v>0.1</x:v>
      </x:c>
      <x:c r="E37" s="113" t="n">
        <x:f>'标签分类'!H12</x:f>
        <x:v>0</x:v>
      </x:c>
      <x:c r="F37" s="111" t="str">
        <x:v>未提供本品价格或同口径价格对比</x:v>
      </x:c>
      <x:c r="G37" s="111" t="str">
        <x:v>该标签覆盖 1/10 个有效竞品；具体 Listing 资源位证据见“标签介绍度”。</x:v>
      </x:c>
      <x:c r="H37" s="114" t="n">
        <x:v>0</x:v>
      </x:c>
      <x:c r="I37" s="114" t="n">
        <x:v>0</x:v>
      </x:c>
      <x:c r="J37" s="114" t="n">
        <x:v>0</x:v>
      </x:c>
      <x:c r="K37" s="114" t="n">
        <x:f>H37+I37+J37</x:f>
        <x:v>0</x:v>
      </x:c>
      <x:c r="L37" s="111" t="str">
        <x:f>IF(K37&gt;=5,"强",IF(K37&gt;=3,"中","弱"))</x:f>
        <x:v>弱</x:v>
      </x:c>
      <x:c r="M37" s="111" t="str">
        <x:f>IF(B37="人群",A37,"")</x:f>
        <x:v>Budget-Conscious Buyers</x:v>
      </x:c>
      <x:c r="N37" s="111" t="str">
        <x:f>IF(B37="场景",A37,"")</x:f>
      </x:c>
      <x:c r="O37" s="111" t="str">
        <x:f>IF(B37="用途",A37,"")</x:f>
      </x:c>
      <x:c r="P37" s="111" t="str">
        <x:f>IF(B37="频率",A37,"")</x:f>
      </x:c>
      <x:c r="Q37" s="195" t="str">
        <x:f>IF(OR(H37=0,J37=0),"不采用 / 观察",IF(AND(C37="A",H37&gt;=1,J37&gt;=1),"优先级 1｜必须表达",IF(AND(OR(C37="B1",C37="B2"),K37&gt;=5,H37&gt;0),"优先级 2｜重点宣传",IF(AND(H37&gt;=1,J37&gt;=1),"优先级 3｜补充表达","不采用 / 观察"))))</x:f>
        <x:v>不采用 / 观察</x:v>
      </x:c>
      <x:c r="R37" s="111" t="str">
        <x:f>IF(OR(Q37="优先级 1｜必须表达",Q37="优先级 2｜重点宣传",Q37="优先级 3｜补充表达"),"是","否")</x:f>
        <x:v>否</x:v>
      </x:c>
      <x:c r="S37" s="111" t="str">
        <x:f>"市场分类 "&amp;C37&amp;"；Product Advantage="&amp;K37&amp;"；"&amp;F37&amp;"；最终动作："&amp;Q37</x:f>
        <x:v>市场分类 C；Product Advantage=0；未提供本品价格或同口径价格对比；最终动作：不采用 / 观察</x:v>
      </x:c>
      <x:c r="T37" s="111" t="str">
        <x:f>IF('标签覆盖率'!$D$2&lt;10,"样本不足，不得作为正式结论","正式结论")</x:f>
        <x:v>正式结论</x:v>
      </x:c>
    </x:row>
    <x:row r="38" ht="56" customHeight="1">
      <x:c r="A38" s="214" t="str">
        <x:v>Living Room</x:v>
      </x:c>
      <x:c r="B38" s="161" t="str">
        <x:v>场景</x:v>
      </x:c>
      <x:c r="C38" s="37" t="str">
        <x:f>'标签分类'!J26</x:f>
        <x:v>C</x:v>
      </x:c>
      <x:c r="D38" s="112" t="n">
        <x:f>'标签分类'!E26</x:f>
        <x:v>0.1</x:v>
      </x:c>
      <x:c r="E38" s="113" t="n">
        <x:f>'标签分类'!H26</x:f>
        <x:v>0</x:v>
      </x:c>
      <x:c r="F38" s="111" t="str">
        <x:v>未提供客厅风格或空间适配事实</x:v>
      </x:c>
      <x:c r="G38" s="111" t="str">
        <x:v>该标签覆盖 1/10 个有效竞品；具体 Listing 资源位证据见“标签介绍度”。</x:v>
      </x:c>
      <x:c r="H38" s="114" t="n">
        <x:v>0</x:v>
      </x:c>
      <x:c r="I38" s="114" t="n">
        <x:v>0</x:v>
      </x:c>
      <x:c r="J38" s="114" t="n">
        <x:v>0</x:v>
      </x:c>
      <x:c r="K38" s="114" t="n">
        <x:f>H38+I38+J38</x:f>
        <x:v>0</x:v>
      </x:c>
      <x:c r="L38" s="111" t="str">
        <x:f>IF(K38&gt;=5,"强",IF(K38&gt;=3,"中","弱"))</x:f>
        <x:v>弱</x:v>
      </x:c>
      <x:c r="M38" s="111" t="str">
        <x:f>IF(B38="人群",A38,"")</x:f>
      </x:c>
      <x:c r="N38" s="111" t="str">
        <x:f>IF(B38="场景",A38,"")</x:f>
        <x:v>Living Room</x:v>
      </x:c>
      <x:c r="O38" s="111" t="str">
        <x:f>IF(B38="用途",A38,"")</x:f>
      </x:c>
      <x:c r="P38" s="111" t="str">
        <x:f>IF(B38="频率",A38,"")</x:f>
      </x:c>
      <x:c r="Q38" s="195" t="str">
        <x:f>IF(OR(H38=0,J38=0),"不采用 / 观察",IF(AND(C38="A",H38&gt;=1,J38&gt;=1),"优先级 1｜必须表达",IF(AND(OR(C38="B1",C38="B2"),K38&gt;=5,H38&gt;0),"优先级 2｜重点宣传",IF(AND(H38&gt;=1,J38&gt;=1),"优先级 3｜补充表达","不采用 / 观察"))))</x:f>
        <x:v>不采用 / 观察</x:v>
      </x:c>
      <x:c r="R38" s="111" t="str">
        <x:f>IF(OR(Q38="优先级 1｜必须表达",Q38="优先级 2｜重点宣传",Q38="优先级 3｜补充表达"),"是","否")</x:f>
        <x:v>否</x:v>
      </x:c>
      <x:c r="S38" s="111" t="str">
        <x:f>"市场分类 "&amp;C38&amp;"；Product Advantage="&amp;K38&amp;"；"&amp;F38&amp;"；最终动作："&amp;Q38</x:f>
        <x:v>市场分类 C；Product Advantage=0；未提供客厅风格或空间适配事实；最终动作：不采用 / 观察</x:v>
      </x:c>
      <x:c r="T38" s="111" t="str">
        <x:f>IF('标签覆盖率'!$D$2&lt;10,"样本不足，不得作为正式结论","正式结论")</x:f>
        <x:v>正式结论</x:v>
      </x:c>
    </x:row>
  </x:sheetData>
  <x:conditionalFormatting sqref="Q2:Q38">
    <x:cfRule type="containsText" dxfId="4" priority="1" operator="containsText" text="优先级 1"/>
    <x:cfRule type="containsText" dxfId="5" priority="2" operator="containsText" text="优先级 2"/>
    <x:cfRule type="containsText" dxfId="6" priority="3" operator="containsText" text="优先级 3"/>
    <x:cfRule type="containsText" dxfId="7" priority="4" operator="containsText" text="不采用"/>
  </x:conditionalFormatting>
  <x:pageMargins left="0.7" right="0.7" top="0.75" bottom="0.75" header="0.3" footer="0.3"/>
  <x:tableParts count="1">
    <x:tablePart xmlns:r="http://schemas.openxmlformats.org/officeDocument/2006/relationships" r:id="R591d4fcfb38c46fa"/>
  </x:tableParts>
</x:worksheet>
</file>